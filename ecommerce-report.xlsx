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mir\Downloads\"/>
    </mc:Choice>
  </mc:AlternateContent>
  <xr:revisionPtr revIDLastSave="0" documentId="13_ncr:1_{AE1DA616-037D-4357-8E31-195F793459E6}" xr6:coauthVersionLast="47" xr6:coauthVersionMax="47" xr10:uidLastSave="{00000000-0000-0000-0000-000000000000}"/>
  <bookViews>
    <workbookView xWindow="-108" yWindow="-108" windowWidth="23256" windowHeight="12456" activeTab="4" xr2:uid="{346724B3-1C49-40AE-AA36-C77CF5D6DD09}"/>
  </bookViews>
  <sheets>
    <sheet name="Data" sheetId="1" r:id="rId1"/>
    <sheet name="Questions &amp; KPIs" sheetId="2" r:id="rId2"/>
    <sheet name="Pivots" sheetId="8" r:id="rId3"/>
    <sheet name="Colors" sheetId="5" r:id="rId4"/>
    <sheet name="Dashboard" sheetId="6" r:id="rId5"/>
  </sheets>
  <definedNames>
    <definedName name="_xlchart.v5.0" hidden="1">Pivots!$G$70:$H$70</definedName>
    <definedName name="_xlchart.v5.1" hidden="1">Pivots!$G$71:$H$127</definedName>
    <definedName name="_xlchart.v5.10" hidden="1">Pivots!$I$70</definedName>
    <definedName name="_xlchart.v5.11" hidden="1">Pivots!$I$71:$I$127</definedName>
    <definedName name="_xlchart.v5.2" hidden="1">Pivots!$I$70</definedName>
    <definedName name="_xlchart.v5.3" hidden="1">Pivots!$I$71:$I$127</definedName>
    <definedName name="_xlchart.v5.4" hidden="1">Pivots!$K$70:$L$70</definedName>
    <definedName name="_xlchart.v5.5" hidden="1">Pivots!$K$71:$L$127</definedName>
    <definedName name="_xlchart.v5.6" hidden="1">Pivots!$M$70</definedName>
    <definedName name="_xlchart.v5.7" hidden="1">Pivots!$M$71:$M$127</definedName>
    <definedName name="_xlchart.v5.8" hidden="1">Pivots!$G$70:$H$70</definedName>
    <definedName name="_xlchart.v5.9" hidden="1">Pivots!$G$71:$H$127</definedName>
    <definedName name="Slicer_Gender_Value">#N/A</definedName>
    <definedName name="Slicer_Order_Mode">#N/A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8" l="1"/>
  <c r="H4" i="8"/>
  <c r="I4" i="8"/>
  <c r="J4" i="8"/>
  <c r="K4" i="8"/>
  <c r="G72"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71"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71" i="8"/>
  <c r="H71" i="8"/>
  <c r="I71" i="8"/>
  <c r="H72" i="8"/>
  <c r="I72" i="8"/>
  <c r="H73" i="8"/>
  <c r="I73" i="8"/>
  <c r="H74" i="8"/>
  <c r="I74" i="8"/>
  <c r="H75" i="8"/>
  <c r="I75" i="8"/>
  <c r="H76" i="8"/>
  <c r="I76" i="8"/>
  <c r="H77" i="8"/>
  <c r="I77" i="8"/>
  <c r="H78" i="8"/>
  <c r="I78" i="8"/>
  <c r="H79" i="8"/>
  <c r="I79" i="8"/>
  <c r="H80" i="8"/>
  <c r="I80" i="8"/>
  <c r="H81" i="8"/>
  <c r="I81" i="8"/>
  <c r="H82" i="8"/>
  <c r="I82" i="8"/>
  <c r="H83" i="8"/>
  <c r="I83" i="8"/>
  <c r="H84" i="8"/>
  <c r="I84" i="8"/>
  <c r="H85" i="8"/>
  <c r="I85" i="8"/>
  <c r="H86" i="8"/>
  <c r="I86" i="8"/>
  <c r="H87" i="8"/>
  <c r="I87" i="8"/>
  <c r="H88" i="8"/>
  <c r="I88" i="8"/>
  <c r="H89" i="8"/>
  <c r="I89" i="8"/>
  <c r="H90" i="8"/>
  <c r="I90" i="8"/>
  <c r="H91" i="8"/>
  <c r="I91" i="8"/>
  <c r="H92" i="8"/>
  <c r="I92" i="8"/>
  <c r="H93" i="8"/>
  <c r="I93" i="8"/>
  <c r="H94" i="8"/>
  <c r="I94" i="8"/>
  <c r="H95" i="8"/>
  <c r="I95" i="8"/>
  <c r="H96" i="8"/>
  <c r="I96" i="8"/>
  <c r="H97" i="8"/>
  <c r="I97" i="8"/>
  <c r="H98" i="8"/>
  <c r="I98" i="8"/>
  <c r="H99" i="8"/>
  <c r="I99" i="8"/>
  <c r="H100" i="8"/>
  <c r="I100" i="8"/>
  <c r="H101" i="8"/>
  <c r="I101" i="8"/>
  <c r="H102" i="8"/>
  <c r="I102" i="8"/>
  <c r="H103" i="8"/>
  <c r="I103" i="8"/>
  <c r="H104" i="8"/>
  <c r="I104" i="8"/>
  <c r="H105" i="8"/>
  <c r="I105" i="8"/>
  <c r="H106" i="8"/>
  <c r="I106" i="8"/>
  <c r="H107" i="8"/>
  <c r="I107" i="8"/>
  <c r="H108" i="8"/>
  <c r="I108" i="8"/>
  <c r="H109" i="8"/>
  <c r="I109" i="8"/>
  <c r="H110" i="8"/>
  <c r="I110" i="8"/>
  <c r="H111" i="8"/>
  <c r="I111" i="8"/>
  <c r="H112" i="8"/>
  <c r="I112" i="8"/>
  <c r="H113" i="8"/>
  <c r="I113" i="8"/>
  <c r="H114" i="8"/>
  <c r="I114" i="8"/>
  <c r="H115" i="8"/>
  <c r="I115" i="8"/>
  <c r="H116" i="8"/>
  <c r="I116" i="8"/>
  <c r="H117" i="8"/>
  <c r="I117" i="8"/>
  <c r="H118" i="8"/>
  <c r="I118" i="8"/>
  <c r="H119" i="8"/>
  <c r="I119" i="8"/>
  <c r="H120" i="8"/>
  <c r="I120" i="8"/>
  <c r="H121" i="8"/>
  <c r="I121" i="8"/>
  <c r="H122" i="8"/>
  <c r="I122" i="8"/>
  <c r="H123" i="8"/>
  <c r="I123" i="8"/>
  <c r="H124" i="8"/>
  <c r="I124" i="8"/>
  <c r="H125" i="8"/>
  <c r="I125" i="8"/>
  <c r="H126" i="8"/>
  <c r="I126" i="8"/>
  <c r="H127" i="8"/>
  <c r="I127"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71" i="8"/>
  <c r="U5" i="8"/>
  <c r="V5" i="8"/>
  <c r="W5" i="8"/>
  <c r="X5" i="8"/>
  <c r="U6" i="8"/>
  <c r="V6" i="8"/>
  <c r="W6" i="8"/>
  <c r="X6" i="8"/>
  <c r="U7" i="8"/>
  <c r="V7" i="8"/>
  <c r="W7" i="8"/>
  <c r="X7" i="8"/>
  <c r="U8" i="8"/>
  <c r="V8" i="8"/>
  <c r="W8" i="8"/>
  <c r="X8" i="8"/>
  <c r="V4" i="8"/>
  <c r="W4" i="8"/>
  <c r="X4" i="8"/>
  <c r="U4" i="8"/>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c r="O2390" i="1" a="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a="1"/>
  <c r="O2329" i="1" s="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c r="O2319" i="1" a="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a="1"/>
  <c r="O2298" i="1" s="1"/>
  <c r="N2298" i="1"/>
  <c r="M2298" i="1"/>
  <c r="O2297" i="1" a="1"/>
  <c r="O2297" i="1" s="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a="1"/>
  <c r="O2288" i="1" s="1"/>
  <c r="N2288" i="1"/>
  <c r="M2288" i="1"/>
  <c r="O2287" i="1"/>
  <c r="O2287" i="1" a="1"/>
  <c r="N2287" i="1"/>
  <c r="M2287" i="1"/>
  <c r="O2286" i="1" a="1"/>
  <c r="O2286" i="1" s="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a="1"/>
  <c r="O2269" i="1" s="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a="1"/>
  <c r="O2237" i="1" s="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a="1"/>
  <c r="O2197" i="1" s="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a="1"/>
  <c r="O2147" i="1" s="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a="1"/>
  <c r="O2124" i="1" s="1"/>
  <c r="N2124" i="1"/>
  <c r="M2124" i="1"/>
  <c r="O2123" i="1"/>
  <c r="O2123" i="1" a="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a="1"/>
  <c r="O2110" i="1" s="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a="1"/>
  <c r="O2101" i="1" s="1"/>
  <c r="N2101" i="1"/>
  <c r="M2101" i="1"/>
  <c r="O2100" i="1" a="1"/>
  <c r="O2100" i="1" s="1"/>
  <c r="N2100" i="1"/>
  <c r="M2100" i="1"/>
  <c r="O2099" i="1"/>
  <c r="O2099" i="1" a="1"/>
  <c r="N2099" i="1"/>
  <c r="M2099" i="1"/>
  <c r="O2098" i="1"/>
  <c r="O2098" i="1" a="1"/>
  <c r="N2098" i="1"/>
  <c r="M2098" i="1"/>
  <c r="O2097" i="1" a="1"/>
  <c r="O2097" i="1" s="1"/>
  <c r="N2097" i="1"/>
  <c r="M2097" i="1"/>
  <c r="O2096" i="1" a="1"/>
  <c r="O2096" i="1" s="1"/>
  <c r="N2096" i="1"/>
  <c r="M2096" i="1"/>
  <c r="O2095" i="1"/>
  <c r="O2095" i="1" a="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a="1"/>
  <c r="O2029" i="1" s="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c r="O1986" i="1" a="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c r="O1972" i="1" a="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a="1"/>
  <c r="O1854" i="1" s="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a="1"/>
  <c r="O1806" i="1" s="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a="1"/>
  <c r="O1764" i="1" s="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a="1"/>
  <c r="O1757" i="1" s="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a="1"/>
  <c r="O1750" i="1" s="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a="1"/>
  <c r="O1729" i="1" s="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a="1"/>
  <c r="O1680" i="1" s="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c r="O1670" i="1" a="1"/>
  <c r="N1670" i="1"/>
  <c r="M1670" i="1"/>
  <c r="O1669" i="1" a="1"/>
  <c r="O1669" i="1" s="1"/>
  <c r="N1669" i="1"/>
  <c r="M1669" i="1"/>
  <c r="O1668" i="1" a="1"/>
  <c r="O1668" i="1" s="1"/>
  <c r="N1668" i="1"/>
  <c r="M1668" i="1"/>
  <c r="O1667" i="1"/>
  <c r="O1667" i="1" a="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a="1"/>
  <c r="O1559" i="1" s="1"/>
  <c r="N1559" i="1"/>
  <c r="M1559" i="1"/>
  <c r="O1558" i="1"/>
  <c r="O1558" i="1" a="1"/>
  <c r="N1558" i="1"/>
  <c r="M1558" i="1"/>
  <c r="O1557" i="1" a="1"/>
  <c r="O1557" i="1" s="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a="1"/>
  <c r="O1526" i="1" s="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c r="O1513" i="1" a="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c r="O1498" i="1" a="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a="1"/>
  <c r="O1459" i="1" s="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c r="O1437" i="1" a="1"/>
  <c r="N1437" i="1"/>
  <c r="M1437" i="1"/>
  <c r="O1436" i="1" a="1"/>
  <c r="O1436" i="1" s="1"/>
  <c r="N1436" i="1"/>
  <c r="M1436" i="1"/>
  <c r="O1435" i="1" a="1"/>
  <c r="O1435" i="1" s="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a="1"/>
  <c r="O1409" i="1" s="1"/>
  <c r="N1409" i="1"/>
  <c r="M1409" i="1"/>
  <c r="O1408" i="1"/>
  <c r="O1408" i="1" a="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a="1"/>
  <c r="O1388" i="1" s="1"/>
  <c r="N1388" i="1"/>
  <c r="M1388" i="1"/>
  <c r="O1387" i="1"/>
  <c r="O1387" i="1" a="1"/>
  <c r="N1387" i="1"/>
  <c r="M1387" i="1"/>
  <c r="O1386" i="1" a="1"/>
  <c r="O1386" i="1" s="1"/>
  <c r="N1386" i="1"/>
  <c r="M1386" i="1"/>
  <c r="O1385" i="1" a="1"/>
  <c r="O1385" i="1" s="1"/>
  <c r="N1385" i="1"/>
  <c r="M1385" i="1"/>
  <c r="O1384" i="1" a="1"/>
  <c r="O1384" i="1" s="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a="1"/>
  <c r="O1365" i="1" s="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a="1"/>
  <c r="O1322" i="1" s="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a="1"/>
  <c r="O1281" i="1" s="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c r="O1232" i="1" a="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a="1"/>
  <c r="O1098" i="1" s="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c r="O1078" i="1" a="1"/>
  <c r="N1078" i="1"/>
  <c r="M1078" i="1"/>
  <c r="O1077" i="1" a="1"/>
  <c r="O1077" i="1" s="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c r="O904" i="1" a="1"/>
  <c r="N904" i="1"/>
  <c r="M904" i="1"/>
  <c r="O903" i="1" a="1"/>
  <c r="O903" i="1" s="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a="1"/>
  <c r="O895" i="1" s="1"/>
  <c r="N895" i="1"/>
  <c r="M895" i="1"/>
  <c r="O894" i="1" a="1"/>
  <c r="O894" i="1" s="1"/>
  <c r="N894" i="1"/>
  <c r="M894" i="1"/>
  <c r="O893" i="1" a="1"/>
  <c r="O893" i="1" s="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c r="O814" i="1" a="1"/>
  <c r="N814" i="1"/>
  <c r="M814" i="1"/>
  <c r="O813" i="1"/>
  <c r="O813" i="1" a="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c r="O755" i="1" a="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c r="O688" i="1" a="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c r="O682" i="1" a="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c r="O668" i="1" a="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c r="O637" i="1" a="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a="1"/>
  <c r="O627" i="1" s="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c r="O596" i="1" a="1"/>
  <c r="N596" i="1"/>
  <c r="M596" i="1"/>
  <c r="O595" i="1" a="1"/>
  <c r="O595" i="1" s="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c r="O570" i="1" a="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c r="O543" i="1" a="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c r="O531" i="1" a="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c r="O524" i="1" a="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a="1"/>
  <c r="O515" i="1" s="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a="1"/>
  <c r="O494" i="1" s="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a="1"/>
  <c r="O472" i="1" s="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a="1"/>
  <c r="O426" i="1" s="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c r="O388" i="1" a="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c r="O374" i="1" a="1"/>
  <c r="N374" i="1"/>
  <c r="M374" i="1"/>
  <c r="O373" i="1"/>
  <c r="O373" i="1" a="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a="1"/>
  <c r="O363" i="1" s="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c r="O260" i="1" a="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c r="O159" i="1" a="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c r="O124" i="1" a="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a="1"/>
  <c r="O94" i="1" s="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a="1"/>
  <c r="O79" i="1" s="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c r="O41" i="1" a="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<sst xmlns="http://schemas.openxmlformats.org/spreadsheetml/2006/main" count="14669" uniqueCount="2569">
  <si>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</si>
  <si>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</si>
  <si>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</si>
  <si>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</si>
  <si>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</si>
  <si>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</si>
  <si>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</si>
  <si>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</si>
  <si>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</si>
  <si>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</si>
  <si>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</si>
  <si>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</si>
  <si>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</si>
  <si>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</si>
  <si>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</si>
  <si>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</si>
  <si>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</si>
  <si>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</si>
  <si>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</si>
  <si>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</si>
  <si>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</si>
  <si>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</si>
  <si>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</si>
  <si>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</si>
  <si>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</si>
  <si>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</si>
  <si>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</si>
  <si>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</si>
  <si>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</si>
  <si>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</si>
  <si>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</si>
  <si>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</si>
  <si>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</si>
  <si>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</si>
  <si>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</si>
  <si>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</si>
  <si>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</si>
  <si>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</si>
  <si>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</si>
  <si>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</si>
  <si>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</si>
  <si>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</si>
  <si>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</si>
  <si>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</si>
  <si>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</si>
  <si>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</si>
  <si>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</si>
  <si>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</si>
  <si>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</si>
  <si>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</si>
  <si>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</si>
  <si>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</si>
  <si>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</si>
  <si>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</si>
  <si>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</si>
  <si>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</si>
  <si>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</si>
  <si>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</si>
  <si>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</si>
  <si>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</si>
  <si>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</si>
  <si>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</si>
  <si>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</si>
  <si>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</si>
  <si>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</si>
  <si>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</si>
  <si>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</si>
  <si>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</si>
  <si>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</si>
  <si>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</si>
  <si>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</si>
  <si>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</si>
  <si>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</si>
  <si>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</si>
  <si>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</si>
  <si>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</si>
  <si>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</si>
  <si>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</si>
  <si>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</si>
  <si>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</si>
  <si>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</si>
  <si>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</si>
  <si>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</si>
  <si>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</si>
  <si>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</si>
  <si>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</si>
  <si>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</si>
  <si>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</si>
  <si>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</si>
  <si>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</si>
  <si>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</si>
  <si>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</si>
  <si>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</si>
  <si>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</si>
  <si>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</si>
  <si>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</si>
  <si>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</si>
  <si>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</si>
  <si>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</si>
  <si>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</si>
  <si>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</si>
  <si>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</si>
  <si>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</si>
  <si>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</si>
  <si>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</si>
  <si>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</si>
  <si>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</si>
  <si>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</si>
  <si>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</si>
  <si>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</si>
  <si>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</si>
  <si>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</si>
  <si>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</si>
  <si>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</si>
  <si>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</si>
  <si>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</si>
  <si>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</si>
  <si>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</si>
  <si>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</si>
  <si>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</si>
  <si>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</si>
  <si>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</si>
  <si>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</si>
  <si>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</si>
  <si>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</si>
  <si>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</si>
  <si>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</si>
  <si>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</si>
  <si>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</si>
  <si>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</si>
  <si>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</si>
  <si>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</si>
  <si>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</si>
  <si>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</si>
  <si>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</si>
  <si>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</si>
  <si>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</si>
  <si>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</si>
  <si>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</si>
  <si>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</si>
  <si>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</si>
  <si>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</si>
  <si>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</si>
  <si>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</si>
  <si>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</si>
  <si>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</si>
  <si>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</si>
  <si>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</si>
  <si>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</si>
  <si>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</si>
  <si>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</si>
  <si>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</si>
  <si>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</si>
  <si>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</si>
  <si>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</si>
  <si>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</si>
  <si>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</si>
  <si>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</si>
  <si>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</si>
  <si>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</si>
  <si>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</si>
  <si>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</si>
  <si>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</si>
  <si>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</si>
  <si>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</si>
  <si>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</si>
  <si>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</si>
  <si>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</si>
  <si>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</si>
  <si>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</si>
  <si>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</si>
  <si>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</si>
  <si>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</si>
  <si>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</si>
  <si>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</si>
  <si>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</si>
  <si>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</si>
  <si>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</si>
  <si>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</si>
  <si>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</si>
  <si>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</si>
  <si>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</si>
  <si>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</si>
  <si>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</si>
  <si>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</si>
  <si>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</si>
  <si>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</si>
  <si>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</si>
  <si>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</si>
  <si>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</si>
  <si>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</si>
  <si>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</si>
  <si>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</si>
  <si>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</si>
  <si>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</si>
  <si>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</si>
  <si>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</si>
  <si>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</si>
  <si>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</si>
  <si>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</si>
  <si>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</si>
  <si>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</si>
  <si>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</si>
  <si>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</si>
  <si>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</si>
  <si>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</si>
  <si>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</si>
  <si>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</si>
  <si>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</si>
  <si>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</si>
  <si>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</si>
  <si>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</si>
  <si>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</si>
  <si>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</si>
  <si>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</si>
  <si>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</si>
  <si>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</si>
  <si>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</si>
  <si>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</si>
  <si>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</si>
  <si>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</si>
  <si>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</si>
  <si>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</si>
  <si>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</si>
  <si>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</si>
  <si>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</si>
  <si>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</si>
  <si>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</si>
  <si>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</si>
  <si>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</si>
  <si>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</si>
  <si>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</si>
  <si>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</si>
  <si>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</si>
  <si>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</si>
  <si>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</si>
  <si>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</si>
  <si>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</si>
  <si>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</si>
  <si>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</si>
  <si>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</si>
  <si>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</si>
  <si>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</si>
  <si>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</si>
  <si>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</si>
  <si>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</si>
  <si>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</si>
  <si>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</si>
  <si>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</si>
  <si>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</si>
  <si>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</si>
  <si>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</si>
  <si>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</si>
  <si>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</si>
  <si>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</si>
  <si>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</si>
  <si>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</si>
  <si>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</si>
  <si>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</si>
  <si>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</si>
  <si>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</si>
  <si>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</si>
  <si>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</si>
  <si>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</si>
  <si>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</si>
  <si>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</si>
  <si>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</si>
  <si>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</si>
  <si>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</si>
  <si>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</si>
  <si>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</si>
  <si>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</si>
  <si>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</si>
  <si>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</si>
  <si>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</si>
  <si>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</si>
  <si>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</si>
  <si>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</si>
  <si>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</si>
  <si>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</si>
  <si>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</si>
  <si>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</si>
  <si>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</si>
  <si>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</si>
  <si>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</si>
  <si>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</si>
  <si>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</si>
  <si>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</si>
  <si>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</si>
  <si>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</si>
  <si>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</si>
  <si>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</si>
  <si>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</si>
  <si>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</si>
  <si>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</si>
  <si>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</si>
  <si>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</si>
  <si>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</si>
  <si>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</si>
  <si>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</si>
  <si>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</si>
  <si>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</si>
  <si>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</si>
  <si>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</si>
  <si>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</si>
  <si>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</si>
  <si>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</si>
  <si>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</si>
  <si>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</si>
  <si>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</si>
  <si>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</si>
  <si>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</si>
  <si>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</si>
  <si>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</si>
  <si>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</si>
  <si>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</si>
  <si>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</si>
  <si>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</si>
  <si>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</si>
  <si>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</si>
  <si>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</si>
  <si>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</si>
  <si>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</si>
  <si>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</si>
  <si>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</si>
  <si>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</si>
  <si>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</si>
  <si>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</si>
  <si>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</si>
  <si>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</si>
  <si>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</si>
  <si>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</si>
  <si>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</si>
  <si>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</si>
  <si>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</si>
  <si>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</si>
  <si>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</si>
  <si>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</si>
  <si>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</si>
  <si>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</si>
  <si>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</si>
  <si>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</si>
  <si>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</si>
  <si>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</si>
  <si>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</si>
  <si>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</si>
  <si>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</si>
  <si>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</si>
  <si>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</si>
  <si>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</si>
  <si>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</si>
  <si>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</si>
  <si>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</si>
  <si>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</si>
  <si>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</si>
  <si>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</si>
  <si>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</si>
  <si>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</si>
  <si>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</si>
  <si>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</si>
  <si>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</si>
  <si>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</si>
  <si>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</si>
  <si>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</si>
  <si>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</si>
  <si>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</si>
  <si>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</si>
  <si>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</si>
  <si>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</si>
  <si>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</si>
  <si>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</si>
  <si>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</si>
  <si>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</si>
  <si>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</si>
  <si>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</si>
  <si>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</si>
  <si>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</si>
  <si>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</si>
  <si>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</si>
  <si>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</si>
  <si>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</si>
  <si>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</si>
  <si>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</si>
  <si>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</si>
  <si>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</si>
  <si>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</si>
  <si>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</si>
  <si>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</si>
  <si>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</si>
  <si>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</si>
  <si>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</si>
  <si>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</si>
  <si>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</si>
  <si>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</si>
  <si>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</si>
  <si>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</si>
  <si>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</si>
  <si>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</si>
  <si>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</si>
  <si>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</si>
  <si>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</si>
  <si>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</si>
  <si>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</si>
  <si>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</si>
  <si>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</si>
  <si>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</si>
  <si>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</si>
  <si>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</si>
  <si>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</si>
  <si>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</si>
  <si>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</si>
  <si>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</si>
  <si>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</si>
  <si>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</si>
  <si>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</si>
  <si>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</si>
  <si>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</si>
  <si>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</si>
  <si>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</si>
  <si>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</si>
  <si>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</si>
  <si>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</si>
  <si>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</si>
  <si>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</si>
  <si>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</si>
  <si>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</si>
  <si>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</si>
  <si>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</si>
  <si>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</si>
  <si>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</si>
  <si>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</si>
  <si>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</si>
  <si>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</si>
  <si>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</si>
  <si>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</si>
  <si>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</si>
  <si>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</si>
  <si>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</si>
  <si>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</si>
  <si>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</si>
  <si>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</si>
  <si>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</si>
  <si>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</si>
  <si>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</si>
  <si>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</si>
  <si>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</si>
  <si>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</si>
  <si>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</si>
  <si>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</si>
  <si>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</si>
  <si>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</si>
  <si>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</si>
  <si>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</si>
  <si>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</si>
  <si>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</si>
  <si>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</si>
  <si>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</si>
  <si>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</si>
  <si>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</si>
  <si>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</si>
  <si>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</si>
  <si>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</si>
  <si>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</si>
  <si>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</si>
  <si>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</si>
  <si>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</si>
  <si>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</si>
  <si>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</si>
  <si>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</si>
  <si>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</si>
  <si>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</si>
  <si>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</si>
  <si>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</si>
  <si>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</si>
  <si>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</si>
  <si>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</si>
  <si>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</si>
  <si>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</si>
  <si>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</si>
  <si>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</si>
  <si>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</si>
  <si>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</si>
  <si>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</si>
  <si>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</si>
  <si>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</si>
  <si>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</si>
  <si>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</si>
  <si>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</si>
  <si>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</si>
  <si>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</si>
  <si>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</si>
  <si>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</si>
  <si>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</si>
  <si>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</si>
  <si>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</si>
  <si>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</si>
  <si>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</si>
  <si>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</si>
  <si>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</si>
  <si>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</si>
  <si>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</si>
  <si>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</si>
  <si>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</si>
  <si>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</si>
  <si>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</si>
  <si>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</si>
  <si>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</si>
  <si>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</si>
  <si>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</si>
  <si>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</si>
  <si>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</si>
  <si>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</si>
  <si>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</si>
  <si>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</si>
  <si>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</si>
  <si>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</si>
  <si>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</si>
  <si>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</si>
  <si>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</si>
  <si>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</si>
  <si>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</si>
  <si>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</si>
  <si>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</si>
  <si>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</si>
  <si>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</si>
  <si>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</si>
  <si>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</si>
  <si>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</si>
  <si>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</si>
  <si>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</si>
  <si>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</si>
  <si>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</si>
  <si>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</si>
  <si>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</si>
  <si>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</si>
  <si>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</si>
  <si>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</si>
  <si>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</si>
  <si>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</si>
  <si>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</si>
  <si>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</si>
  <si>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</si>
  <si>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</si>
  <si>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</si>
  <si>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</si>
  <si>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</si>
  <si>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</si>
  <si>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</si>
  <si>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</si>
  <si>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</si>
  <si>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</si>
  <si>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</si>
  <si>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</si>
  <si>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</si>
  <si>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</si>
  <si>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</si>
  <si>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</si>
  <si>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</si>
  <si>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</si>
  <si>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</si>
  <si>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</si>
  <si>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</si>
  <si>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</si>
  <si>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</si>
  <si>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</si>
  <si>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</si>
  <si>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</si>
  <si>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</si>
  <si>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</si>
  <si>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</si>
  <si>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</si>
  <si>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</si>
  <si>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</si>
  <si>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</si>
  <si>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</si>
  <si>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</si>
  <si>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</si>
  <si>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</si>
  <si>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</si>
  <si>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</si>
  <si>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</si>
  <si>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</si>
  <si>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</si>
  <si>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</si>
  <si>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</si>
  <si>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</si>
  <si>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</si>
  <si>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</si>
  <si>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</si>
  <si>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</si>
  <si>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</si>
  <si>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</si>
  <si>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</si>
  <si>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</si>
  <si>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</si>
  <si>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</si>
  <si>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</si>
  <si>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</si>
  <si>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</si>
  <si>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</si>
  <si>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</si>
  <si>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</si>
  <si>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</si>
  <si>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</si>
  <si>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</si>
  <si>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</si>
  <si>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</si>
  <si>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</si>
  <si>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</si>
  <si>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</si>
  <si>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</si>
  <si>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</si>
  <si>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</si>
  <si>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</si>
  <si>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</si>
  <si>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</si>
  <si>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</si>
  <si>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</si>
  <si>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</si>
  <si>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</si>
  <si>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</si>
  <si>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</si>
  <si>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</si>
  <si>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</si>
  <si>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</si>
  <si>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</si>
  <si>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</si>
  <si>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</si>
  <si>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</si>
  <si>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</si>
  <si>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</si>
  <si>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</si>
  <si>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</si>
  <si>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</si>
  <si>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</si>
  <si>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</si>
  <si>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</si>
  <si>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</si>
  <si>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</si>
  <si>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</si>
  <si>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</si>
  <si>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</si>
  <si>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</si>
  <si>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</si>
  <si>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</si>
  <si>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</si>
  <si>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</si>
  <si>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</si>
  <si>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</si>
  <si>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</si>
  <si>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</si>
  <si>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</si>
  <si>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</si>
  <si>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</si>
  <si>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</si>
  <si>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</si>
  <si>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</si>
  <si>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</si>
  <si>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</si>
  <si>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</si>
  <si>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</si>
  <si>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</si>
  <si>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</si>
  <si>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</si>
  <si>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</si>
  <si>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</si>
  <si>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</si>
  <si>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</si>
  <si>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</si>
  <si>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</si>
  <si>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</si>
  <si>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</si>
  <si>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</si>
  <si>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</si>
  <si>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</si>
  <si>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</si>
  <si>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</si>
  <si>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</si>
  <si>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</si>
  <si>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</si>
  <si>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</si>
  <si>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</si>
  <si>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</si>
  <si>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</si>
  <si>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</si>
  <si>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</si>
  <si>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</si>
  <si>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</si>
  <si>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</si>
  <si>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</si>
  <si>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</si>
  <si>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</si>
  <si>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</si>
  <si>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</si>
  <si>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</si>
  <si>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</si>
  <si>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</si>
  <si>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</si>
  <si>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</si>
  <si>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</si>
  <si>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</si>
  <si>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</si>
  <si>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</si>
  <si>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</si>
  <si>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</si>
  <si>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</si>
  <si>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</si>
  <si>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</si>
  <si>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</si>
  <si>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</si>
  <si>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</si>
  <si>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</si>
  <si>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</si>
  <si>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</si>
  <si>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</si>
  <si>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</si>
  <si>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</si>
  <si>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</si>
  <si>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</si>
  <si>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</si>
  <si>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</si>
  <si>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</si>
  <si>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</si>
  <si>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</si>
  <si>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</si>
  <si>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</si>
  <si>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</si>
  <si>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</si>
  <si>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</si>
  <si>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</si>
  <si>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</si>
  <si>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</si>
  <si>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</si>
  <si>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</si>
  <si>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</si>
  <si>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</si>
  <si>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</si>
  <si>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</si>
  <si>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</si>
  <si>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</si>
  <si>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</si>
  <si>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</si>
  <si>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</si>
  <si>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</si>
  <si>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</si>
  <si>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</si>
  <si>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</si>
  <si>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</si>
  <si>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</si>
  <si>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</si>
  <si>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</si>
  <si>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</si>
  <si>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</si>
  <si>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</si>
  <si>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</si>
  <si>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</si>
  <si>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</si>
  <si>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</si>
  <si>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</si>
  <si>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</si>
  <si>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</si>
  <si>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</si>
  <si>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</si>
  <si>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</si>
  <si>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</si>
  <si>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</si>
  <si>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</si>
  <si>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</si>
  <si>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</si>
  <si>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</si>
  <si>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</si>
  <si>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</si>
  <si>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</si>
  <si>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</si>
  <si>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</si>
  <si>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</si>
  <si>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</si>
  <si>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</si>
  <si>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</si>
  <si>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</si>
  <si>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</si>
  <si>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</si>
  <si>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</si>
  <si>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</si>
  <si>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</si>
  <si>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</si>
  <si>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</si>
  <si>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</si>
  <si>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</si>
  <si>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</si>
  <si>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</si>
  <si>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</si>
  <si>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</si>
  <si>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</si>
  <si>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</si>
  <si>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</si>
  <si>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</si>
  <si>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</si>
  <si>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</si>
  <si>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</si>
  <si>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</si>
  <si>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</si>
  <si>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</si>
  <si>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</si>
  <si>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</si>
  <si>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</si>
  <si>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</si>
  <si>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</si>
  <si>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</si>
  <si>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</si>
  <si>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</si>
  <si>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</si>
  <si>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</si>
  <si>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</si>
  <si>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</si>
  <si>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</si>
  <si>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</si>
  <si>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</si>
  <si>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</si>
  <si>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</si>
  <si>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</si>
  <si>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</si>
  <si>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</si>
  <si>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</si>
  <si>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</si>
  <si>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</si>
  <si>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</si>
  <si>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</si>
  <si>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</si>
  <si>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</si>
  <si>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</si>
  <si>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</si>
  <si>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</si>
  <si>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</si>
  <si>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</si>
  <si>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</si>
  <si>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</si>
  <si>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</si>
  <si>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</si>
  <si>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</si>
  <si>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</si>
  <si>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</si>
  <si>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</si>
  <si>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</si>
  <si>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</si>
  <si>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</si>
  <si>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</si>
  <si>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</si>
  <si>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</si>
  <si>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</si>
  <si>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</si>
  <si>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</si>
  <si>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</si>
  <si>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</si>
  <si>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</si>
  <si>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</si>
  <si>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</si>
  <si>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</si>
  <si>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</si>
  <si>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</si>
  <si>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</si>
  <si>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</si>
  <si>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</si>
  <si>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</si>
  <si>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</si>
  <si>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</si>
  <si>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</si>
  <si>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</si>
  <si>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</si>
  <si>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</si>
  <si>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</si>
  <si>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</si>
  <si>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</si>
  <si>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</si>
  <si>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</si>
  <si>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</si>
  <si>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</si>
  <si>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</si>
  <si>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</si>
  <si>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</si>
  <si>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</si>
  <si>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</si>
  <si>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</si>
  <si>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</si>
  <si>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</si>
  <si>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</si>
  <si>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</si>
  <si>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</si>
  <si>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</si>
  <si>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</si>
  <si>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</si>
  <si>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</si>
  <si>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</si>
  <si>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</si>
  <si>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</si>
  <si>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</si>
  <si>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</si>
  <si>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</si>
  <si>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</si>
  <si>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</si>
  <si>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</si>
  <si>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</si>
  <si>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</si>
  <si>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</si>
  <si>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</si>
  <si>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</si>
  <si>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</si>
  <si>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</si>
  <si>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</si>
  <si>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</si>
  <si>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</si>
  <si>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</si>
  <si>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</si>
  <si>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</si>
  <si>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</si>
  <si>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</si>
  <si>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</si>
  <si>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</si>
  <si>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</si>
  <si>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</si>
  <si>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</si>
  <si>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</si>
  <si>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</si>
  <si>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</si>
  <si>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</si>
  <si>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</si>
  <si>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</si>
  <si>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</si>
  <si>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</si>
  <si>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</si>
  <si>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</si>
  <si>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</si>
  <si>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</si>
  <si>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</si>
  <si>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</si>
  <si>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</si>
  <si>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</si>
  <si>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</si>
  <si>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</si>
  <si>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</si>
  <si>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</si>
  <si>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</si>
  <si>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</si>
  <si>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</si>
  <si>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</si>
  <si>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</si>
  <si>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</si>
  <si>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</si>
  <si>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</si>
  <si>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</si>
  <si>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</si>
  <si>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</si>
  <si>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</si>
  <si>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</si>
  <si>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</si>
  <si>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</si>
  <si>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</si>
  <si>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</si>
  <si>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</si>
  <si>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</si>
  <si>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</si>
  <si>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</si>
  <si>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</si>
  <si>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</si>
  <si>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</si>
  <si>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</si>
  <si>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</si>
  <si>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</si>
  <si>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</si>
  <si>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</si>
  <si>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</si>
  <si>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</si>
  <si>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</si>
  <si>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</si>
  <si>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</si>
  <si>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</si>
  <si>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</si>
  <si>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</si>
  <si>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</si>
  <si>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</si>
  <si>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</si>
  <si>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</si>
  <si>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</si>
  <si>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</si>
  <si>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</si>
  <si>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</si>
  <si>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</si>
  <si>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</si>
  <si>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</si>
  <si>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</si>
  <si>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</si>
  <si>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</si>
  <si>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</si>
  <si>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</si>
  <si>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</si>
  <si>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</si>
  <si>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</si>
  <si>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</si>
  <si>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</si>
  <si>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</si>
  <si>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</si>
  <si>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</si>
  <si>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</si>
  <si>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</si>
  <si>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</si>
  <si>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</si>
  <si>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</si>
  <si>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</si>
  <si>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</si>
  <si>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</si>
  <si>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</si>
  <si>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</si>
  <si>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</si>
  <si>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</si>
  <si>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</si>
  <si>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</si>
  <si>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</si>
  <si>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</si>
  <si>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</si>
  <si>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</si>
  <si>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</si>
  <si>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</si>
  <si>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</si>
  <si>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</si>
  <si>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</si>
  <si>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</si>
  <si>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</si>
  <si>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</si>
  <si>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</si>
  <si>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</si>
  <si>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</si>
  <si>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</si>
  <si>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</si>
  <si>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</si>
  <si>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</si>
  <si>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</si>
  <si>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</si>
  <si>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</si>
  <si>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</si>
  <si>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</si>
  <si>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</si>
  <si>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</si>
  <si>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</si>
  <si>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</si>
  <si>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</si>
  <si>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</si>
  <si>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</si>
  <si>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</si>
  <si>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</si>
  <si>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</si>
  <si>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</si>
  <si>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</si>
  <si>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</si>
  <si>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</si>
  <si>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</si>
  <si>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</si>
  <si>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</si>
  <si>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</si>
  <si>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</si>
  <si>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</si>
  <si>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</si>
  <si>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</si>
  <si>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</si>
  <si>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</si>
  <si>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</si>
  <si>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</si>
  <si>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</si>
  <si>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</si>
  <si>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</si>
  <si>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</si>
  <si>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</si>
  <si>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</si>
  <si>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</si>
  <si>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</si>
  <si>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</si>
  <si>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</si>
  <si>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</si>
  <si>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</si>
  <si>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</si>
  <si>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</si>
  <si>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</si>
  <si>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</si>
  <si>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</si>
  <si>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</si>
  <si>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</si>
  <si>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</si>
  <si>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</si>
  <si>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</si>
  <si>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</si>
  <si>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</si>
  <si>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</si>
  <si>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</si>
  <si>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</si>
  <si>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</si>
  <si>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</si>
  <si>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</si>
  <si>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</si>
  <si>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</si>
  <si>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</si>
  <si>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</si>
  <si>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</si>
  <si>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</si>
  <si>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</si>
  <si>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</si>
  <si>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</si>
  <si>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</si>
  <si>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</si>
  <si>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</si>
  <si>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</si>
  <si>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</si>
  <si>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</si>
  <si>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</si>
  <si>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</si>
  <si>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</si>
  <si>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</si>
  <si>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</si>
  <si>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</si>
  <si>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</si>
  <si>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</si>
  <si>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</si>
  <si>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</si>
  <si>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</si>
  <si>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</si>
  <si>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</si>
  <si>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</si>
  <si>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</si>
  <si>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</si>
  <si>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</si>
  <si>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</si>
  <si>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</si>
  <si>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</si>
  <si>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</si>
  <si>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</si>
  <si>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</si>
  <si>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</si>
  <si>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</si>
  <si>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</si>
  <si>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</si>
  <si>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</si>
  <si>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</si>
  <si>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</si>
  <si>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</si>
  <si>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</si>
  <si>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</si>
  <si>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</si>
  <si>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</si>
  <si>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</si>
  <si>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</si>
  <si>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</si>
  <si>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</si>
  <si>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</si>
  <si>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</si>
  <si>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</si>
  <si>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</si>
  <si>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</si>
  <si>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</si>
  <si>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</si>
  <si>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</si>
  <si>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</si>
  <si>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</si>
  <si>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</si>
  <si>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</si>
  <si>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</si>
  <si>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</si>
  <si>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</si>
  <si>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</si>
  <si>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</si>
  <si>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</si>
  <si>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</si>
  <si>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</si>
  <si>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</si>
  <si>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</si>
  <si>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</si>
  <si>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</si>
  <si>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</si>
  <si>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</si>
  <si>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</si>
  <si>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</si>
  <si>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</si>
  <si>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</si>
  <si>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</si>
  <si>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</si>
  <si>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</si>
  <si>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</si>
  <si>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</si>
  <si>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</si>
  <si>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</si>
  <si>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</si>
  <si>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</si>
  <si>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</si>
  <si>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</si>
  <si>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</si>
  <si>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</si>
  <si>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</si>
  <si>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</si>
  <si>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</si>
  <si>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</si>
  <si>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</si>
  <si>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</si>
  <si>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</si>
  <si>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</si>
  <si>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</si>
  <si>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</si>
  <si>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</si>
  <si>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</si>
  <si>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</si>
  <si>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</si>
  <si>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</si>
  <si>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</si>
  <si>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</si>
  <si>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</si>
  <si>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</si>
  <si>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</si>
  <si>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</si>
  <si>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</si>
  <si>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</si>
  <si>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</si>
  <si>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</si>
  <si>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</si>
  <si>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</si>
  <si>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</si>
  <si>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</si>
  <si>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</si>
  <si>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</si>
  <si>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</si>
  <si>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</si>
  <si>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</si>
  <si>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</si>
  <si>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</si>
  <si>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</si>
  <si>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</si>
  <si>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</si>
  <si>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</si>
  <si>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</si>
  <si>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</si>
  <si>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</si>
  <si>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</si>
  <si>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</si>
  <si>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</si>
  <si>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</si>
  <si>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</si>
  <si>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</si>
  <si>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</si>
  <si>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</si>
  <si>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</si>
  <si>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</si>
  <si>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</si>
  <si>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</si>
  <si>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</si>
  <si>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</si>
  <si>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</si>
  <si>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</si>
  <si>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</si>
  <si>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</si>
  <si>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</si>
  <si>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</si>
  <si>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</si>
  <si>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</si>
  <si>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</si>
  <si>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</si>
  <si>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</si>
  <si>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</si>
  <si>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</si>
  <si>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</si>
  <si>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</si>
  <si>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</si>
  <si>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</si>
  <si>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</si>
  <si>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</si>
  <si>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</si>
  <si>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</si>
  <si>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</si>
  <si>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</si>
  <si>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</si>
  <si>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</si>
  <si>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</si>
  <si>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</si>
  <si>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</si>
  <si>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</si>
  <si>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</si>
  <si>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</si>
  <si>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</si>
  <si>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</si>
  <si>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</si>
  <si>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</si>
  <si>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</si>
  <si>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</si>
  <si>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</si>
  <si>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</si>
  <si>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</si>
  <si>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</si>
  <si>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</si>
  <si>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</si>
  <si>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</si>
  <si>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</si>
  <si>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</si>
  <si>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</si>
  <si>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</si>
  <si>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</si>
  <si>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</si>
  <si>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</si>
  <si>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</si>
  <si>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</si>
  <si>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</si>
  <si>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</si>
  <si>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</si>
  <si>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</si>
  <si>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</si>
  <si>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</si>
  <si>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</si>
  <si>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</si>
  <si>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</si>
  <si>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</si>
  <si>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</si>
  <si>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</si>
  <si>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</si>
  <si>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</si>
  <si>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</si>
  <si>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</si>
  <si>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</si>
  <si>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</si>
  <si>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</si>
  <si>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</si>
  <si>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</si>
  <si>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</si>
  <si>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</si>
  <si>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</si>
  <si>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</si>
  <si>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</si>
  <si>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</si>
  <si>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</si>
  <si>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</si>
  <si>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</si>
  <si>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</si>
  <si>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</si>
  <si>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</si>
  <si>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</si>
  <si>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</si>
  <si>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</si>
  <si>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</si>
  <si>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</si>
  <si>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</si>
  <si>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</si>
  <si>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</si>
  <si>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</si>
  <si>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</si>
  <si>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</si>
  <si>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</si>
  <si>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</si>
  <si>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</si>
  <si>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</si>
  <si>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</si>
  <si>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</si>
  <si>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</si>
  <si>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</si>
  <si>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</si>
  <si>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</si>
  <si>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</si>
  <si>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</si>
  <si>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</si>
  <si>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</si>
  <si>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</si>
  <si>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</si>
  <si>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</si>
  <si>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</si>
  <si>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</si>
  <si>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</si>
  <si>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</si>
  <si>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</si>
  <si>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</si>
  <si>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</si>
  <si>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</si>
  <si>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</si>
  <si>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</si>
  <si>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</si>
  <si>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</si>
  <si>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</si>
  <si>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</si>
  <si>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</si>
  <si>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</si>
  <si>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</si>
  <si>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</si>
  <si>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</si>
  <si>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</si>
  <si>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</si>
  <si>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</si>
  <si>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</si>
  <si>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</si>
  <si>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</si>
  <si>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</si>
  <si>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</si>
  <si>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</si>
  <si>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</si>
  <si>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</si>
  <si>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</si>
  <si>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</si>
  <si>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</si>
  <si>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</si>
  <si>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</si>
  <si>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</si>
  <si>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</si>
  <si>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</si>
  <si>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</si>
  <si>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</si>
  <si>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</si>
  <si>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</si>
  <si>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</si>
  <si>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</si>
  <si>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</si>
  <si>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</si>
  <si>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</si>
  <si>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</si>
  <si>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</si>
  <si>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</si>
  <si>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</si>
  <si>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</si>
  <si>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</si>
  <si>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</si>
  <si>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</si>
  <si>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</si>
  <si>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</si>
  <si>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</si>
  <si>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</si>
  <si>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</si>
  <si>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</si>
  <si>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</si>
  <si>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</si>
  <si>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</si>
  <si>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</si>
  <si>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</si>
  <si>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</si>
  <si>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</si>
  <si>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</si>
  <si>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</si>
  <si>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</si>
  <si>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</si>
  <si>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</si>
  <si>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</si>
  <si>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</si>
  <si>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</si>
  <si>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</si>
  <si>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</si>
  <si>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</si>
  <si>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</si>
  <si>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</si>
  <si>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</si>
  <si>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</si>
  <si>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</si>
  <si>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</si>
  <si>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</si>
  <si>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</si>
  <si>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</si>
  <si>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</si>
  <si>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</si>
  <si>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</si>
  <si>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</si>
  <si>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</si>
  <si>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</si>
  <si>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</si>
  <si>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</si>
  <si>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</si>
  <si>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</si>
  <si>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</si>
  <si>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</si>
  <si>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</si>
  <si>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</si>
  <si>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</si>
  <si>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</si>
  <si>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</si>
  <si>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</si>
  <si>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</si>
  <si>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</si>
  <si>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</si>
  <si>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</si>
  <si>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</si>
  <si>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</si>
  <si>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</si>
  <si>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</si>
  <si>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</si>
  <si>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</si>
  <si>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</si>
  <si>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</si>
  <si>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</si>
  <si>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</si>
  <si>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</si>
  <si>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</si>
  <si>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</si>
  <si>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</si>
  <si>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</si>
  <si>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</si>
  <si>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</si>
  <si>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</si>
  <si>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</si>
  <si>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</si>
  <si>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</si>
  <si>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</si>
  <si>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</si>
  <si>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</si>
  <si>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</si>
  <si>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</si>
  <si>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</si>
  <si>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</si>
  <si>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</si>
  <si>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</si>
  <si>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</si>
  <si>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</si>
  <si>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</si>
  <si>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</si>
  <si>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</si>
  <si>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</si>
  <si>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</si>
  <si>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</si>
  <si>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</si>
  <si>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</si>
  <si>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</si>
  <si>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</si>
  <si>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</si>
  <si>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</si>
  <si>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</si>
  <si>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</si>
  <si>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</si>
  <si>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</si>
  <si>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</si>
  <si>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</si>
  <si>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</si>
  <si>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</si>
  <si>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</si>
  <si>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</si>
  <si>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</si>
  <si>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</si>
  <si>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</si>
  <si>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</si>
  <si>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</si>
  <si>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</si>
  <si>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</si>
  <si>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</si>
  <si>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</si>
  <si>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</si>
  <si>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</si>
  <si>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</si>
  <si>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</si>
  <si>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</si>
  <si>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</si>
  <si>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</si>
  <si>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</si>
  <si>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</si>
  <si>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</si>
  <si>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</si>
  <si>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</si>
  <si>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</si>
  <si>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</si>
  <si>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</si>
  <si>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</si>
  <si>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</si>
  <si>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</si>
  <si>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</si>
  <si>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</si>
  <si>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</si>
  <si>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</si>
  <si>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</si>
  <si>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</si>
  <si>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</si>
  <si>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</si>
  <si>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</si>
  <si>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</si>
  <si>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</si>
  <si>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</si>
  <si>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</si>
  <si>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</si>
  <si>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</si>
  <si>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</si>
  <si>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</si>
  <si>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</si>
  <si>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</si>
  <si>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</si>
  <si>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</si>
  <si>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</si>
  <si>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</si>
  <si>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</si>
  <si>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</si>
  <si>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</si>
  <si>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</si>
  <si>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</si>
  <si>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</si>
  <si>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</si>
  <si>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</si>
  <si>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</si>
  <si>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</si>
  <si>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</si>
  <si>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</si>
  <si>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</si>
  <si>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</si>
  <si>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</si>
  <si>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</si>
  <si>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</si>
  <si>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</si>
  <si>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</si>
  <si>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</si>
  <si>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</si>
  <si>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</si>
  <si>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</si>
  <si>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</si>
  <si>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</si>
  <si>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</si>
  <si>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</si>
  <si>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</si>
  <si>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</si>
  <si>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</si>
  <si>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</si>
  <si>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</si>
  <si>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</si>
  <si>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</si>
  <si>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</si>
  <si>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</si>
  <si>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</si>
  <si>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</si>
  <si>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</si>
  <si>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</si>
  <si>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</si>
  <si>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</si>
  <si>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</si>
  <si>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</si>
  <si>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</si>
  <si>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</si>
  <si>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</si>
  <si>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</si>
  <si>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</si>
  <si>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</si>
  <si>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</si>
  <si>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</si>
  <si>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</si>
  <si>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</si>
  <si>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</si>
  <si>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</si>
  <si>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</si>
  <si>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</si>
  <si>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</si>
  <si>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</si>
  <si>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</si>
  <si>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</si>
  <si>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</si>
  <si>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</si>
  <si>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</si>
  <si>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</si>
  <si>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</si>
  <si>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</si>
  <si>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</si>
  <si>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</si>
  <si>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</si>
  <si>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</si>
  <si>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</si>
  <si>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</si>
  <si>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</si>
  <si>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</si>
  <si>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</si>
  <si>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</si>
  <si>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</si>
  <si>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</si>
  <si>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</si>
  <si>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</si>
  <si>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</si>
  <si>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</si>
  <si>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</si>
  <si>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</si>
  <si>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</si>
  <si>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</si>
  <si>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</si>
  <si>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</si>
  <si>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</si>
  <si>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</si>
  <si>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</si>
  <si>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</si>
  <si>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</si>
  <si>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</si>
  <si>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</si>
  <si>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</si>
  <si>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</si>
  <si>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</si>
  <si>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</si>
  <si>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</si>
  <si>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</si>
  <si>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</si>
  <si>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</si>
  <si>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</si>
  <si>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</si>
  <si>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</si>
  <si>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</si>
  <si>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</si>
  <si>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</si>
  <si>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</si>
  <si>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</si>
  <si>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</si>
  <si>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</si>
  <si>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</si>
  <si>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</si>
  <si>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</si>
  <si>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</si>
  <si>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</si>
  <si>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</si>
  <si>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</si>
  <si>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</si>
  <si>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</si>
  <si>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</si>
  <si>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</si>
  <si>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</si>
  <si>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</si>
  <si>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</si>
  <si>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</si>
  <si>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</si>
  <si>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</si>
  <si>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</si>
  <si>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</si>
  <si>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</si>
  <si>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</si>
  <si>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</si>
  <si>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</si>
  <si>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</si>
  <si>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</si>
  <si>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</si>
  <si>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</si>
  <si>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</si>
  <si>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</si>
  <si>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</si>
  <si>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</si>
  <si>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</si>
  <si>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</si>
  <si>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</si>
  <si>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</si>
  <si>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</si>
  <si>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</si>
  <si>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</si>
  <si>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</si>
  <si>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</si>
  <si>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</si>
  <si>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</si>
  <si>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</si>
  <si>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</si>
  <si>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</si>
  <si>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</si>
  <si>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</si>
  <si>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</si>
  <si>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</si>
  <si>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</si>
  <si>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</si>
  <si>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</si>
  <si>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</si>
  <si>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</si>
  <si>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</si>
  <si>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</si>
  <si>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</si>
  <si>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</si>
  <si>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</si>
  <si>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</si>
  <si>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</si>
  <si>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</si>
  <si>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</si>
  <si>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</si>
  <si>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</si>
  <si>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</si>
  <si>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</si>
  <si>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</si>
  <si>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</si>
  <si>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</si>
  <si>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</si>
  <si>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</si>
  <si>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</si>
  <si>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</si>
  <si>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</si>
  <si>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</si>
  <si>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</si>
  <si>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</si>
  <si>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</si>
  <si>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</si>
  <si>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</si>
  <si>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</si>
  <si>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</si>
  <si>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</si>
  <si>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</si>
  <si>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</si>
  <si>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</si>
  <si>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</si>
  <si>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</si>
  <si>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</si>
  <si>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</si>
  <si>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</si>
  <si>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</si>
  <si>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</si>
  <si>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</si>
  <si>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</si>
  <si>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</si>
  <si>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</si>
  <si>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</si>
  <si>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</si>
  <si>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</si>
  <si>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</si>
  <si>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</si>
  <si>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</si>
  <si>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</si>
  <si>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</si>
  <si>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</si>
  <si>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</si>
  <si>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</si>
  <si>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</si>
  <si>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</si>
  <si>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</si>
  <si>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</si>
  <si>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</si>
  <si>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</si>
  <si>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</si>
  <si>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</si>
  <si>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</si>
  <si>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</si>
  <si>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</si>
  <si>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</si>
  <si>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</si>
  <si>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</si>
  <si>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</si>
  <si>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</si>
  <si>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</si>
  <si>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</si>
  <si>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</si>
  <si>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</si>
  <si>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</si>
  <si>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</si>
  <si>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</si>
  <si>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</si>
  <si>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</si>
  <si>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</si>
  <si>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</si>
  <si>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</si>
  <si>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</si>
  <si>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</si>
  <si>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</si>
  <si>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</si>
  <si>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</si>
  <si>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</si>
  <si>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</si>
  <si>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</si>
  <si>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</si>
  <si>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</si>
  <si>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</si>
  <si>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</si>
  <si>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</si>
  <si>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</si>
  <si>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</si>
  <si>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</si>
  <si>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</si>
  <si>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</si>
  <si>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</si>
  <si>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</si>
  <si>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</si>
  <si>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</si>
  <si>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</si>
  <si>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</si>
  <si>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</si>
  <si>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</si>
  <si>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</si>
  <si>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</si>
  <si>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</si>
  <si>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</si>
  <si>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</si>
  <si>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</si>
  <si>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</si>
  <si>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</si>
  <si>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</si>
  <si>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</si>
  <si>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</si>
  <si>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</si>
  <si>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</si>
  <si>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</si>
  <si>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</si>
  <si>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</si>
  <si>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</si>
  <si>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</si>
  <si>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</si>
  <si>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</si>
  <si>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</si>
  <si>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</si>
  <si>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</si>
  <si>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</si>
  <si>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</si>
  <si>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</si>
  <si>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</si>
  <si>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</si>
  <si>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</si>
  <si>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</si>
  <si>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</si>
  <si>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</si>
  <si>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</si>
  <si>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</si>
  <si>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</si>
  <si>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</si>
  <si>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</si>
  <si>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</si>
  <si>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</si>
  <si>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</si>
  <si>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</si>
  <si>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</si>
  <si>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</si>
  <si>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</si>
  <si>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</si>
  <si>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</si>
  <si>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</si>
  <si>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</si>
  <si>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</si>
  <si>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</si>
  <si>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</si>
  <si>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</si>
  <si>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</si>
  <si>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</si>
  <si>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</si>
  <si>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</si>
  <si>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</si>
  <si>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</si>
  <si>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</si>
  <si>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</si>
  <si>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</si>
  <si>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</si>
  <si>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</si>
  <si>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</si>
  <si>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</si>
  <si>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</si>
  <si>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</si>
  <si>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</si>
  <si>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</si>
  <si>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</si>
  <si>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</si>
  <si>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</si>
  <si>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</si>
  <si>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</si>
  <si>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</si>
  <si>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</si>
  <si>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</si>
  <si>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</si>
  <si>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</si>
  <si>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</si>
  <si>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</si>
  <si>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</si>
  <si>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</si>
  <si>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</si>
  <si>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</si>
  <si>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</si>
  <si>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</si>
  <si>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</si>
  <si>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</si>
  <si>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</si>
  <si>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</si>
  <si>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</si>
  <si>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</si>
  <si>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</si>
  <si>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</si>
  <si>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</si>
  <si>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</si>
  <si>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</si>
  <si>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</si>
  <si>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</si>
  <si>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</si>
  <si>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</si>
  <si>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</si>
  <si>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</si>
  <si>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</si>
  <si>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</si>
  <si>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</si>
  <si>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</si>
  <si>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</si>
  <si>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</si>
  <si>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</si>
  <si>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</si>
  <si>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</si>
  <si>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</si>
  <si>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</si>
  <si>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</si>
  <si>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</si>
  <si>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</si>
  <si>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</si>
  <si>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</si>
  <si>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</si>
  <si>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</si>
  <si>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</si>
  <si>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</si>
  <si>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</si>
  <si>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</si>
  <si>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</si>
  <si>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</si>
  <si>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</si>
  <si>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</si>
  <si>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</si>
  <si>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</si>
  <si>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</si>
  <si>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</si>
  <si>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</si>
  <si>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</si>
  <si>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</si>
  <si>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</si>
  <si>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</si>
  <si>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</si>
  <si>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</si>
  <si>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</si>
  <si>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</si>
  <si>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</si>
  <si>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</si>
  <si>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</si>
  <si>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</si>
  <si>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</si>
  <si>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</si>
  <si>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</si>
  <si>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</si>
  <si>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</si>
  <si>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</si>
  <si>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</si>
  <si>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</si>
  <si>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</si>
  <si>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</si>
  <si>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</si>
  <si>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</si>
  <si>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</si>
  <si>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</si>
  <si>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</si>
  <si>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</si>
  <si>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</si>
  <si>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</si>
  <si>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</si>
  <si>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</si>
  <si>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</si>
  <si>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</si>
  <si>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</si>
  <si>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</si>
  <si>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</si>
  <si>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</si>
  <si>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</si>
  <si>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</si>
  <si>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</si>
  <si>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</si>
  <si>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</si>
  <si>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</si>
  <si>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</si>
  <si>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</si>
  <si>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</si>
  <si>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</si>
  <si>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</si>
  <si>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</si>
  <si>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</si>
  <si>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</si>
  <si>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</si>
  <si>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</si>
  <si>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</si>
  <si>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</si>
  <si>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</si>
  <si>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</si>
  <si>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</si>
  <si>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</si>
  <si>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</si>
  <si>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</si>
  <si>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</si>
  <si>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</si>
  <si>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</si>
  <si>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</si>
  <si>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</si>
  <si>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</si>
  <si>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</si>
  <si>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</si>
  <si>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</si>
  <si>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</si>
  <si>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</si>
  <si>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</si>
  <si>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</si>
  <si>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</si>
  <si>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</si>
  <si>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</si>
  <si>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</si>
  <si>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</si>
  <si>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</si>
  <si>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</si>
  <si>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</si>
  <si>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</si>
  <si>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</si>
  <si>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</si>
  <si>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</si>
  <si>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</si>
  <si>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</si>
  <si>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</si>
  <si>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</si>
  <si>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</si>
  <si>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</si>
  <si>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</si>
  <si>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</si>
  <si>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</si>
  <si>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</si>
  <si>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</si>
  <si>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</si>
  <si>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</si>
  <si>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</si>
  <si>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</si>
  <si>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</si>
  <si>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</si>
  <si>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</si>
  <si>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</si>
  <si>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</si>
  <si>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</si>
  <si>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</si>
  <si>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</si>
  <si>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</si>
  <si>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</si>
  <si>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</si>
  <si>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</si>
  <si>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</si>
  <si>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</si>
  <si>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</si>
  <si>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</si>
  <si>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</si>
  <si>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</si>
  <si>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</si>
  <si>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</si>
  <si>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</si>
  <si>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</si>
  <si>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</si>
  <si>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</si>
  <si>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</si>
  <si>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</si>
  <si>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</si>
  <si>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</si>
  <si>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</si>
  <si>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</si>
  <si>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</si>
  <si>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</si>
  <si>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</si>
  <si>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</si>
  <si>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</si>
  <si>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</si>
  <si>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</si>
  <si>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</si>
  <si>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</si>
  <si>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</si>
  <si>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</si>
  <si>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</si>
  <si>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</si>
  <si>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</si>
  <si>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</si>
  <si>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</si>
  <si>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</si>
  <si>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</si>
  <si>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</si>
  <si>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</si>
  <si>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</si>
  <si>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</si>
  <si>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</si>
  <si>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</si>
  <si>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</si>
  <si>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</si>
  <si>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</si>
  <si>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</si>
  <si>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</si>
  <si>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</si>
  <si>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</si>
  <si>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</si>
  <si>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</si>
  <si>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</si>
  <si>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</si>
  <si>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</si>
  <si>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</si>
  <si>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</si>
  <si>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</si>
  <si>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</si>
  <si>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</si>
  <si>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</si>
  <si>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</si>
  <si>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</si>
  <si>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</si>
  <si>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</si>
  <si>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</si>
  <si>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</si>
  <si>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</si>
  <si>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</si>
  <si>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</si>
  <si>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</si>
  <si>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</si>
  <si>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</si>
  <si>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</si>
  <si>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</si>
  <si>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</si>
  <si>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</si>
  <si>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</si>
  <si>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</si>
  <si>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</si>
  <si>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</si>
  <si>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</si>
  <si>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</si>
  <si>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</si>
  <si>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</si>
  <si>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</si>
  <si>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</si>
  <si>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</si>
  <si>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</si>
  <si>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</si>
  <si>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</si>
  <si>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</si>
  <si>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</si>
  <si>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</si>
  <si>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</si>
  <si>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</si>
  <si>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</si>
  <si>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</si>
  <si>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</si>
  <si>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</si>
  <si>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</si>
  <si>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</si>
  <si>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</si>
  <si>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</si>
  <si>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</si>
  <si>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</si>
  <si>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</si>
  <si>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</si>
  <si>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</si>
  <si>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</si>
  <si>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</si>
  <si>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</si>
  <si>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</si>
  <si>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</si>
  <si>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</si>
  <si>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</si>
  <si>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</si>
  <si>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</si>
  <si>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</si>
  <si>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</si>
  <si>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</si>
  <si>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</si>
  <si>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</si>
  <si>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</si>
  <si>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</si>
  <si>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</si>
  <si>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</si>
  <si>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</si>
  <si>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</si>
  <si>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</si>
  <si>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</si>
  <si>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</si>
  <si>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</si>
  <si>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</si>
  <si>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</si>
  <si>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</si>
  <si>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</si>
  <si>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</si>
  <si>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</si>
  <si>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</si>
  <si>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</si>
  <si>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</si>
  <si>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</si>
  <si>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</si>
  <si>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</si>
  <si>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</si>
  <si>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</si>
  <si>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</si>
  <si>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</si>
  <si>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</si>
  <si>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</si>
  <si>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</si>
  <si>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</si>
  <si>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</si>
  <si>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</si>
  <si>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</si>
  <si>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</si>
  <si>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</si>
  <si>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</si>
  <si>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</si>
  <si>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</si>
  <si>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</si>
  <si>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</si>
  <si>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</si>
  <si>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</si>
  <si>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</si>
  <si>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</si>
  <si>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</si>
  <si>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</si>
  <si>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</si>
  <si>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</si>
  <si>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</si>
  <si>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</si>
  <si>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</si>
  <si>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</si>
  <si>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</si>
  <si>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</si>
  <si>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</si>
  <si>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</si>
  <si>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</si>
  <si>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</si>
  <si>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</si>
  <si>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</si>
  <si>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</si>
  <si>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</si>
  <si>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</si>
  <si>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</si>
  <si>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</si>
  <si>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</si>
  <si>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</si>
  <si>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</si>
  <si>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</si>
  <si>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</si>
  <si>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</si>
  <si>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</si>
  <si>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</si>
  <si>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</si>
  <si>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</si>
  <si>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</si>
  <si>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</si>
  <si>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</si>
  <si>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</si>
  <si>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</si>
  <si>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</si>
  <si>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</si>
  <si>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</si>
  <si>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</si>
  <si>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</si>
  <si>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</si>
  <si>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</si>
  <si>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</si>
  <si>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</si>
  <si>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</si>
  <si>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</si>
  <si>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</si>
  <si>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</si>
  <si>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</si>
  <si>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</si>
  <si>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</si>
  <si>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</si>
  <si>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</si>
  <si>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</si>
  <si>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</si>
  <si>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</si>
  <si>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</si>
  <si>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</si>
  <si>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</si>
  <si>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</si>
  <si>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</si>
  <si>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</si>
  <si>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</si>
  <si>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</si>
  <si>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</si>
  <si>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</si>
  <si>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</si>
  <si>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</si>
  <si>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</si>
  <si>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</si>
  <si>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</si>
  <si>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</si>
  <si>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</si>
  <si>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</si>
  <si>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</si>
  <si>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</si>
  <si>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</si>
  <si>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</si>
  <si>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</si>
  <si>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</si>
  <si>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</si>
  <si>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</si>
  <si>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</si>
  <si>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</si>
  <si>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</si>
  <si>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</si>
  <si>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</si>
  <si>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</si>
  <si>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</si>
  <si>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</si>
  <si>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</si>
  <si>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</si>
  <si>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</si>
  <si>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</si>
  <si>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</si>
  <si>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</si>
  <si>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</si>
  <si>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</si>
  <si>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</si>
  <si>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</si>
  <si>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</si>
  <si>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</si>
  <si>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</si>
  <si>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</si>
  <si>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</si>
  <si>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</si>
  <si>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</si>
  <si>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</si>
  <si>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</si>
  <si>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</si>
  <si>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</si>
  <si>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</si>
  <si>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</si>
  <si>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</si>
  <si>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</si>
  <si>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</si>
  <si>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</si>
  <si>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</si>
  <si>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</si>
  <si>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</si>
  <si>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</si>
  <si>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</si>
  <si>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</si>
  <si>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</si>
  <si>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</si>
  <si>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</si>
  <si>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</si>
  <si>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</si>
  <si>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</si>
  <si>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</si>
  <si>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</si>
  <si>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</si>
  <si>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</si>
  <si>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</si>
  <si>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</si>
  <si>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</si>
  <si>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</si>
  <si>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</si>
  <si>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</si>
  <si>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</si>
  <si>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</si>
  <si>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</si>
  <si>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</si>
  <si>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</si>
  <si>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</si>
  <si>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</si>
  <si>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</si>
  <si>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</si>
  <si>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</si>
  <si>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</si>
  <si>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</si>
  <si>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</si>
  <si>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</si>
  <si>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</si>
  <si>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</si>
  <si>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</si>
  <si>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</si>
  <si>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</si>
  <si>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</si>
  <si>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</si>
  <si>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</si>
  <si>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</si>
  <si>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</si>
  <si>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</si>
  <si>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</si>
  <si>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</si>
  <si>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</si>
  <si>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</si>
  <si>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</si>
  <si>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</si>
  <si>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</si>
  <si>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</si>
  <si>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</si>
  <si>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</si>
  <si>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</si>
  <si>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</si>
  <si>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</si>
  <si>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</si>
  <si>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</si>
  <si>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</si>
  <si>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</si>
  <si>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</si>
  <si>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</si>
  <si>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</si>
  <si>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</si>
  <si>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</si>
  <si>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</si>
  <si>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</si>
  <si>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</si>
  <si>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</si>
  <si>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</si>
  <si>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</si>
  <si>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</si>
  <si>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</si>
  <si>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</si>
  <si>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</si>
  <si>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</si>
  <si>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</si>
  <si>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</si>
  <si>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</si>
  <si>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</si>
  <si>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</si>
  <si>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</si>
  <si>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</si>
  <si>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</si>
  <si>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</si>
  <si>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</si>
  <si>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</si>
  <si>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</si>
  <si>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</si>
  <si>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</si>
  <si>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</si>
  <si>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</si>
  <si>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</si>
  <si>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</si>
  <si>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</si>
  <si>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</si>
  <si>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</si>
  <si>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</si>
  <si>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</si>
  <si>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</si>
  <si>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</si>
  <si>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</si>
  <si>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</si>
  <si>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</si>
  <si>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</si>
  <si>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</si>
  <si>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</si>
  <si>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</si>
  <si>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</si>
  <si>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</si>
  <si>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</si>
  <si>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</si>
  <si>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</si>
  <si>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</si>
  <si>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</si>
  <si>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</si>
  <si>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</si>
  <si>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</si>
  <si>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</si>
  <si>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</si>
  <si>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</si>
  <si>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</si>
  <si>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</si>
  <si>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</si>
  <si>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</si>
  <si>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Color Scheme</t>
  </si>
  <si>
    <t>#9FBFAD</t>
  </si>
  <si>
    <t>#748C76</t>
  </si>
  <si>
    <t>#505947</t>
  </si>
  <si>
    <t>#BF7F5A</t>
  </si>
  <si>
    <t>#BF3939</t>
  </si>
  <si>
    <t>#4887E6</t>
  </si>
  <si>
    <t>Accent 1</t>
  </si>
  <si>
    <t>Accent 2</t>
  </si>
  <si>
    <t>Accent 3</t>
  </si>
  <si>
    <t>Accent 4</t>
  </si>
  <si>
    <t>Accent 5</t>
  </si>
  <si>
    <t>Accent 6</t>
  </si>
  <si>
    <t>Emojis</t>
  </si>
  <si>
    <t>Orders</t>
  </si>
  <si>
    <t>Rating</t>
  </si>
  <si>
    <t>Format Codes</t>
  </si>
  <si>
    <t>#,##</t>
  </si>
  <si>
    <t>value with thousand's seperator</t>
  </si>
  <si>
    <t>$#,##,.0k</t>
  </si>
  <si>
    <t>Amount in thousands with one decimal</t>
  </si>
  <si>
    <t>0.0</t>
  </si>
  <si>
    <t>Other numbers</t>
  </si>
  <si>
    <t>Sum of Quantity</t>
  </si>
  <si>
    <t>Row Labels</t>
  </si>
  <si>
    <t>Grand Total</t>
  </si>
  <si>
    <t>Column Labels</t>
  </si>
  <si>
    <t>Count of TX ID</t>
  </si>
  <si>
    <t>Sum of Amount</t>
  </si>
  <si>
    <t>Average of Days to Deliver</t>
  </si>
  <si>
    <t>Average of Rating C</t>
  </si>
  <si>
    <t>Values for display</t>
  </si>
  <si>
    <t>Qty</t>
  </si>
  <si>
    <t>Avg. Days</t>
  </si>
  <si>
    <t>for trends</t>
  </si>
  <si>
    <t>Female</t>
  </si>
  <si>
    <t>Male</t>
  </si>
  <si>
    <t>Other</t>
  </si>
  <si>
    <t>Unknown</t>
  </si>
  <si>
    <t>for metrics</t>
  </si>
  <si>
    <t>6 to 10</t>
  </si>
  <si>
    <t>More than 10</t>
  </si>
  <si>
    <t>map chart stuff</t>
  </si>
  <si>
    <t xml:space="preserve">State </t>
  </si>
  <si>
    <t>Jan</t>
  </si>
  <si>
    <t>Feb</t>
  </si>
  <si>
    <t>Mar</t>
  </si>
  <si>
    <t>Customer Satisfaction Analysis</t>
  </si>
  <si>
    <t>Summary</t>
  </si>
  <si>
    <t>Order Qty Analysis</t>
  </si>
  <si>
    <t>Shipment Duration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</si>
</sst>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409]#,##0"/>
    <numFmt numFmtId="167" formatCode="0.0%"/>
  </numFmts>
  <fonts count="3" x14ac:knownFonts="1">
    <font>
      <sz val="11"/>
      <color theme="1"/>
      <name val="Aptos Narrow"/>
      <family val="2"/>
      <scheme val="minor"/>
    </font>
    <font>
      <b/>
      <sz val="11"/>
      <color theme="1"/>
      <name val="Aptos Narrow"/>
      <family val="2"/>
      <scheme val="minor"/>
    </font>
    <font>
      <sz val="10"/>
      <color theme="1"/>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4">
    <border>
      <left/>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diagonal/>
    </border>
    <border>
      <left style="medium">
        <color theme="0"/>
      </left>
      <right/>
      <top/>
      <bottom/>
      <diagonal/>
    </border>
  </borders>
  <cellStyleXfs count="1">
    <xf numFmtId="0" fontId="0" fillId="0" borderId="0"/>
  </cellStyleXfs>
  <cellXfs count="2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167" fontId="0" fillId="0" borderId="0" xfId="0" applyNumberFormat="1" applyAlignment="1">
      <alignment horizontal="left"/>
    </xf>
    <xf numFmtId="0" fontId="0" fillId="0" borderId="1" xfId="0" applyBorder="1"/>
    <xf numFmtId="167" fontId="0" fillId="0" borderId="1" xfId="0" applyNumberFormat="1" applyBorder="1" applyAlignment="1">
      <alignment horizontal="left"/>
    </xf>
    <xf numFmtId="0" fontId="0" fillId="0" borderId="2" xfId="0" applyBorder="1"/>
    <xf numFmtId="0" fontId="1" fillId="0" borderId="0" xfId="0" applyFont="1"/>
    <xf numFmtId="0" fontId="2" fillId="0" borderId="3" xfId="0" applyFont="1" applyBorder="1"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164" formatCode="d\-mmm\-yy"/>
    </dxf>
    <dxf>
      <numFmt numFmtId="164" formatCode="d\-mmm\-yy"/>
    </dxf>
  </dxfs>
  <tableStyles count="1" defaultTableStyle="TableStyleMedium2" defaultPivotStyle="PivotStyleLight16">
    <tableStyle name="Invisible" pivot="0" table="0" count="0" xr9:uid="{1137307D-9666-4F0A-8E50-38210225CFF8}"/>
  </tableStyles>
  <colors>
    <mruColors>
      <color rgb="FF53CD5C"/>
      <color rgb="FF03510E"/>
      <color rgb="FF748C76"/>
      <color rgb="FF9FBF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[ecommerce-blank.xlsx]Pivots!pvtTrends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Last 13 weeks treds - Qty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9BE-4E4B-939F-529FD6CACE7A}"/>
            </c:ext>
          </c:extLst>
        </c:ser>
        <c:dLbls>
          <c:showLegendKey val="0"/>
          <c:showVal val="0"/>
          <c:showCatName val="0"/>
          <c:showSerName val="0"/>
          <c:showPercent val="0"/>
          <c:showBubbleSize val="0"/>
        </c:dLbls>
        <c:marker val="1"/>
        <c:smooth val="0"/>
        <c:axId val="1587070784"/>
        <c:axId val="1587057824"/>
      </c:lineChart>
      <c:lineChart>
        <c:grouping val="standard"/>
        <c:varyColors val="0"/>
        <c:ser>
          <c:idx val="1"/>
          <c:order val="1"/>
          <c:tx>
            <c:strRef>
              <c:f>Pivots!$C$9</c:f>
              <c:strCache>
                <c:ptCount val="1"/>
                <c:pt idx="0">
                  <c:v>Sum of Amount</c:v>
                </c:pt>
              </c:strCache>
            </c:strRef>
          </c:tx>
          <c:spPr>
            <a:ln w="28575" cap="rnd">
              <a:solidFill>
                <a:schemeClr val="accent5"/>
              </a:solidFill>
              <a:round/>
            </a:ln>
            <a:effectLst/>
          </c:spPr>
          <c:marker>
            <c:symbol val="none"/>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9BE-4E4B-939F-529FD6CACE7A}"/>
            </c:ext>
          </c:extLst>
        </c:ser>
        <c:dLbls>
          <c:showLegendKey val="0"/>
          <c:showVal val="0"/>
          <c:showCatName val="0"/>
          <c:showSerName val="0"/>
          <c:showPercent val="0"/>
          <c:showBubbleSize val="0"/>
        </c:dLbls>
        <c:marker val="1"/>
        <c:smooth val="0"/>
        <c:axId val="1587032864"/>
        <c:axId val="1587034784"/>
      </c:lineChart>
      <c:catAx>
        <c:axId val="158707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57824"/>
        <c:crosses val="autoZero"/>
        <c:auto val="1"/>
        <c:lblAlgn val="ctr"/>
        <c:lblOffset val="100"/>
        <c:noMultiLvlLbl val="0"/>
      </c:catAx>
      <c:valAx>
        <c:axId val="158705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70784"/>
        <c:crosses val="autoZero"/>
        <c:crossBetween val="between"/>
      </c:valAx>
      <c:valAx>
        <c:axId val="1587034784"/>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32864"/>
        <c:crosses val="max"/>
        <c:crossBetween val="between"/>
      </c:valAx>
      <c:catAx>
        <c:axId val="1587032864"/>
        <c:scaling>
          <c:orientation val="minMax"/>
        </c:scaling>
        <c:delete val="1"/>
        <c:axPos val="b"/>
        <c:numFmt formatCode="General" sourceLinked="1"/>
        <c:majorTickMark val="out"/>
        <c:minorTickMark val="none"/>
        <c:tickLblPos val="nextTo"/>
        <c:crossAx val="1587034784"/>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[ecommerce-blank.xlsx]Pivots!pvtQuantity</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How</a:t>
            </a:r>
            <a:r>
              <a:rPr lang="en-US" b="1" baseline="0">
                <a:solidFill>
                  <a:schemeClr val="tx1"/>
                </a:solidFill>
              </a:rPr>
              <a:t> many they buy?</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Pivots!$A$28:$A$35</c:f>
              <c:strCache>
                <c:ptCount val="7"/>
                <c:pt idx="0">
                  <c:v>1</c:v>
                </c:pt>
                <c:pt idx="1">
                  <c:v>2</c:v>
                </c:pt>
                <c:pt idx="2">
                  <c:v>3</c:v>
                </c:pt>
                <c:pt idx="3">
                  <c:v>4</c:v>
                </c:pt>
                <c:pt idx="4">
                  <c:v>5</c:v>
                </c:pt>
                <c:pt idx="5">
                  <c:v>6 to 10</c:v>
                </c:pt>
                <c:pt idx="6">
                  <c:v>More than 10</c:v>
                </c:pt>
              </c:strCache>
            </c:strRef>
          </c:cat>
          <c:val>
            <c:numRef>
              <c:f>Pivots!$B$28:$B$35</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BC09-4948-8535-DACC5368FC15}"/>
            </c:ext>
          </c:extLst>
        </c:ser>
        <c:dLbls>
          <c:dLblPos val="inEnd"/>
          <c:showLegendKey val="0"/>
          <c:showVal val="1"/>
          <c:showCatName val="0"/>
          <c:showSerName val="0"/>
          <c:showPercent val="0"/>
          <c:showBubbleSize val="0"/>
        </c:dLbls>
        <c:gapWidth val="10"/>
        <c:overlap val="-27"/>
        <c:axId val="1587064064"/>
        <c:axId val="1587064544"/>
      </c:barChart>
      <c:catAx>
        <c:axId val="1587064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64544"/>
        <c:crosses val="autoZero"/>
        <c:auto val="1"/>
        <c:lblAlgn val="ctr"/>
        <c:lblOffset val="100"/>
        <c:noMultiLvlLbl val="0"/>
      </c:catAx>
      <c:valAx>
        <c:axId val="1587064544"/>
        <c:scaling>
          <c:orientation val="minMax"/>
        </c:scaling>
        <c:delete val="1"/>
        <c:axPos val="l"/>
        <c:numFmt formatCode="General" sourceLinked="1"/>
        <c:majorTickMark val="out"/>
        <c:minorTickMark val="none"/>
        <c:tickLblPos val="nextTo"/>
        <c:crossAx val="158706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[ecommerce-blank.xlsx]Pivots!pvtProducts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Which products</a:t>
            </a:r>
            <a:r>
              <a:rPr lang="en-IN" b="1" baseline="0">
                <a:solidFill>
                  <a:schemeClr val="tx1"/>
                </a:solidFill>
              </a:rPr>
              <a:t> are popular? Breakdown by gender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Pivots!$B$41:$B$42</c:f>
              <c:strCache>
                <c:ptCount val="1"/>
                <c:pt idx="0">
                  <c:v>Female</c:v>
                </c:pt>
              </c:strCache>
            </c:strRef>
          </c:tx>
          <c:spPr>
            <a:solidFill>
              <a:schemeClr val="accent1"/>
            </a:solidFill>
            <a:ln>
              <a:noFill/>
            </a:ln>
            <a:effectLst/>
          </c:spPr>
          <c:invertIfNegative val="0"/>
          <c:cat>
            <c:strRef>
              <c:f>Pivots!$A$43:$A$63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Pivots!$B$43:$B$63</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D43E-44FC-9E81-0498C19600B5}"/>
            </c:ext>
          </c:extLst>
        </c:ser>
        <c:ser>
          <c:idx val="1"/>
          <c:order val="1"/>
          <c:tx>
            <c:strRef>
              <c:f>Pivots!$C$41:$C$42</c:f>
              <c:strCache>
                <c:ptCount val="1"/>
                <c:pt idx="0">
                  <c:v>Male</c:v>
                </c:pt>
              </c:strCache>
            </c:strRef>
          </c:tx>
          <c:spPr>
            <a:solidFill>
              <a:schemeClr val="accent2"/>
            </a:solidFill>
            <a:ln>
              <a:noFill/>
            </a:ln>
            <a:effectLst/>
          </c:spPr>
          <c:invertIfNegative val="0"/>
          <c:cat>
            <c:strRef>
              <c:f>Pivots!$A$43:$A$63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Pivots!$C$43:$C$63</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5-D43E-44FC-9E81-0498C19600B5}"/>
            </c:ext>
          </c:extLst>
        </c:ser>
        <c:ser>
          <c:idx val="2"/>
          <c:order val="2"/>
          <c:tx>
            <c:strRef>
              <c:f>Pivots!$D$41:$D$42</c:f>
              <c:strCache>
                <c:ptCount val="1"/>
                <c:pt idx="0">
                  <c:v>Other</c:v>
                </c:pt>
              </c:strCache>
            </c:strRef>
          </c:tx>
          <c:spPr>
            <a:solidFill>
              <a:schemeClr val="accent3"/>
            </a:solidFill>
            <a:ln>
              <a:noFill/>
            </a:ln>
            <a:effectLst/>
          </c:spPr>
          <c:invertIfNegative val="0"/>
          <c:cat>
            <c:strRef>
              <c:f>Pivots!$A$43:$A$63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Pivots!$D$43:$D$63</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6-D43E-44FC-9E81-0498C19600B5}"/>
            </c:ext>
          </c:extLst>
        </c:ser>
        <c:ser>
          <c:idx val="3"/>
          <c:order val="3"/>
          <c:tx>
            <c:strRef>
              <c:f>Pivots!$E$41:$E$42</c:f>
              <c:strCache>
                <c:ptCount val="1"/>
                <c:pt idx="0">
                  <c:v>Unknown</c:v>
                </c:pt>
              </c:strCache>
            </c:strRef>
          </c:tx>
          <c:spPr>
            <a:solidFill>
              <a:schemeClr val="accent4"/>
            </a:solidFill>
            <a:ln>
              <a:noFill/>
            </a:ln>
            <a:effectLst/>
          </c:spPr>
          <c:invertIfNegative val="0"/>
          <c:cat>
            <c:strRef>
              <c:f>Pivots!$A$43:$A$63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Pivots!$E$43:$E$63</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7-D43E-44FC-9E81-0498C19600B5}"/>
            </c:ext>
          </c:extLst>
        </c:ser>
        <c:dLbls>
          <c:showLegendKey val="0"/>
          <c:showVal val="0"/>
          <c:showCatName val="0"/>
          <c:showSerName val="0"/>
          <c:showPercent val="0"/>
          <c:showBubbleSize val="0"/>
        </c:dLbls>
        <c:gapWidth val="150"/>
        <c:overlap val="100"/>
        <c:axId val="1587074624"/>
        <c:axId val="1587075104"/>
      </c:barChart>
      <c:catAx>
        <c:axId val="158707462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75104"/>
        <c:crosses val="autoZero"/>
        <c:auto val="1"/>
        <c:lblAlgn val="ctr"/>
        <c:lblOffset val="100"/>
        <c:noMultiLvlLbl val="0"/>
      </c:catAx>
      <c:valAx>
        <c:axId val="15870751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74624"/>
        <c:crosses val="autoZero"/>
        <c:crossBetween val="between"/>
      </c:valAx>
      <c:spPr>
        <a:noFill/>
        <a:ln>
          <a:noFill/>
        </a:ln>
        <a:effectLst>
          <a:outerShdw blurRad="12700" dist="508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[ecommerce-blank.xlsx]Pivots!pvtGenderQty</c:name>
    <c:fmtId val="38"/>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984889641903836"/>
              <c:y val="0.195814387805319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57149241945859"/>
                  <c:h val="0.2825892875920637"/>
                </c:manualLayout>
              </c15:layout>
            </c:ext>
          </c:extLst>
        </c:dLbl>
      </c:pivotFmt>
      <c:pivotFmt>
        <c:idx val="8"/>
        <c:spPr>
          <a:solidFill>
            <a:schemeClr val="accent2"/>
          </a:solidFill>
          <a:ln w="19050">
            <a:solidFill>
              <a:schemeClr val="lt1"/>
            </a:solidFill>
          </a:ln>
          <a:effectLst/>
        </c:spPr>
        <c:dLbl>
          <c:idx val="0"/>
          <c:layout>
            <c:manualLayout>
              <c:x val="-9.4692962012818557E-2"/>
              <c:y val="0.241411419053347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58148118414531"/>
                  <c:h val="0.16836247544617508"/>
                </c:manualLayout>
              </c15:layout>
            </c:ext>
          </c:extLst>
        </c:dLbl>
      </c:pivotFmt>
      <c:pivotFmt>
        <c:idx val="9"/>
        <c:spPr>
          <a:solidFill>
            <a:schemeClr val="accent3"/>
          </a:solidFill>
          <a:ln w="19050">
            <a:solidFill>
              <a:schemeClr val="lt1"/>
            </a:solidFill>
          </a:ln>
          <a:effectLst/>
        </c:spPr>
        <c:dLbl>
          <c:idx val="0"/>
          <c:layout>
            <c:manualLayout>
              <c:x val="-0.21496353615610095"/>
              <c:y val="-5.05787762415717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42291668414072"/>
                  <c:h val="0.16836247544617508"/>
                </c:manualLayout>
              </c15:layout>
            </c:ext>
          </c:extLst>
        </c:dLbl>
      </c:pivotFmt>
      <c:pivotFmt>
        <c:idx val="10"/>
        <c:spPr>
          <a:solidFill>
            <a:schemeClr val="accent4"/>
          </a:solidFill>
          <a:ln w="19050">
            <a:solidFill>
              <a:schemeClr val="lt1"/>
            </a:solidFill>
          </a:ln>
          <a:effectLst/>
        </c:spPr>
        <c:dLbl>
          <c:idx val="0"/>
          <c:layout>
            <c:manualLayout>
              <c:x val="0.33355407036407053"/>
              <c:y val="-8.94960660908484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415683809516157"/>
                  <c:h val="0.24529149694127184"/>
                </c:manualLayout>
              </c15:layout>
            </c:ext>
          </c:extLst>
        </c:dLbl>
      </c:pivotFmt>
    </c:pivotFmts>
    <c:plotArea>
      <c:layout>
        <c:manualLayout>
          <c:layoutTarget val="inner"/>
          <c:xMode val="edge"/>
          <c:yMode val="edge"/>
          <c:x val="0.18543969009123351"/>
          <c:y val="0.17832106219952362"/>
          <c:w val="0.58640112952920032"/>
          <c:h val="0.74318825674569566"/>
        </c:manualLayout>
      </c:layout>
      <c:doughnutChart>
        <c:varyColors val="1"/>
        <c:ser>
          <c:idx val="0"/>
          <c:order val="0"/>
          <c:tx>
            <c:strRef>
              <c:f>Pivots!$K$41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A2-4004-A219-9E880F3493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A2-4004-A219-9E880F3493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A2-4004-A219-9E880F3493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A2-4004-A219-9E880F3493B6}"/>
              </c:ext>
            </c:extLst>
          </c:dPt>
          <c:dLbls>
            <c:dLbl>
              <c:idx val="0"/>
              <c:layout>
                <c:manualLayout>
                  <c:x val="0.13984889641903836"/>
                  <c:y val="0.1958143878053190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57149241945859"/>
                      <c:h val="0.2825892875920637"/>
                    </c:manualLayout>
                  </c15:layout>
                </c:ext>
                <c:ext xmlns:c16="http://schemas.microsoft.com/office/drawing/2014/chart" uri="{C3380CC4-5D6E-409C-BE32-E72D297353CC}">
                  <c16:uniqueId val="{00000001-4AA2-4004-A219-9E880F3493B6}"/>
                </c:ext>
              </c:extLst>
            </c:dLbl>
            <c:dLbl>
              <c:idx val="1"/>
              <c:layout>
                <c:manualLayout>
                  <c:x val="-9.4692962012818557E-2"/>
                  <c:y val="0.24141141905334751"/>
                </c:manualLayout>
              </c:layout>
              <c:showLegendKey val="0"/>
              <c:showVal val="0"/>
              <c:showCatName val="1"/>
              <c:showSerName val="0"/>
              <c:showPercent val="1"/>
              <c:showBubbleSize val="0"/>
              <c:extLst>
                <c:ext xmlns:c15="http://schemas.microsoft.com/office/drawing/2012/chart" uri="{CE6537A1-D6FC-4f65-9D91-7224C49458BB}">
                  <c15:layout>
                    <c:manualLayout>
                      <c:w val="0.22658148118414531"/>
                      <c:h val="0.16836247544617508"/>
                    </c:manualLayout>
                  </c15:layout>
                </c:ext>
                <c:ext xmlns:c16="http://schemas.microsoft.com/office/drawing/2014/chart" uri="{C3380CC4-5D6E-409C-BE32-E72D297353CC}">
                  <c16:uniqueId val="{00000003-4AA2-4004-A219-9E880F3493B6}"/>
                </c:ext>
              </c:extLst>
            </c:dLbl>
            <c:dLbl>
              <c:idx val="2"/>
              <c:layout>
                <c:manualLayout>
                  <c:x val="-0.21496353615610095"/>
                  <c:y val="-5.0578776241571796E-2"/>
                </c:manualLayout>
              </c:layout>
              <c:showLegendKey val="0"/>
              <c:showVal val="0"/>
              <c:showCatName val="1"/>
              <c:showSerName val="0"/>
              <c:showPercent val="1"/>
              <c:showBubbleSize val="0"/>
              <c:extLst>
                <c:ext xmlns:c15="http://schemas.microsoft.com/office/drawing/2012/chart" uri="{CE6537A1-D6FC-4f65-9D91-7224C49458BB}">
                  <c15:layout>
                    <c:manualLayout>
                      <c:w val="0.22642291668414072"/>
                      <c:h val="0.16836247544617508"/>
                    </c:manualLayout>
                  </c15:layout>
                </c:ext>
                <c:ext xmlns:c16="http://schemas.microsoft.com/office/drawing/2014/chart" uri="{C3380CC4-5D6E-409C-BE32-E72D297353CC}">
                  <c16:uniqueId val="{00000005-4AA2-4004-A219-9E880F3493B6}"/>
                </c:ext>
              </c:extLst>
            </c:dLbl>
            <c:dLbl>
              <c:idx val="3"/>
              <c:layout>
                <c:manualLayout>
                  <c:x val="0.33355407036407053"/>
                  <c:y val="-8.94960660908484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415683809516157"/>
                      <c:h val="0.24529149694127184"/>
                    </c:manualLayout>
                  </c15:layout>
                </c:ext>
                <c:ext xmlns:c16="http://schemas.microsoft.com/office/drawing/2014/chart" uri="{C3380CC4-5D6E-409C-BE32-E72D297353CC}">
                  <c16:uniqueId val="{00000007-4AA2-4004-A219-9E880F3493B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Pivots!$J$42:$J$46</c:f>
              <c:strCache>
                <c:ptCount val="4"/>
                <c:pt idx="0">
                  <c:v>Female</c:v>
                </c:pt>
                <c:pt idx="1">
                  <c:v>Male</c:v>
                </c:pt>
                <c:pt idx="2">
                  <c:v>Other</c:v>
                </c:pt>
                <c:pt idx="3">
                  <c:v>Unknown</c:v>
                </c:pt>
              </c:strCache>
            </c:strRef>
          </c:cat>
          <c:val>
            <c:numRef>
              <c:f>Pivots!$K$42:$K$46</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4AA2-4004-A219-9E880F3493B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[ecommerce-blank.xlsx]Pivots!pvtDuration</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How long we</a:t>
            </a:r>
            <a:r>
              <a:rPr lang="en-US" b="1" baseline="0">
                <a:solidFill>
                  <a:schemeClr val="tx1"/>
                </a:solidFill>
              </a:rPr>
              <a:t> take to ship?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270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Pivots!$B$134</c:f>
              <c:strCache>
                <c:ptCount val="1"/>
                <c:pt idx="0">
                  <c:v>Total</c:v>
                </c:pt>
              </c:strCache>
            </c:strRef>
          </c:tx>
          <c:spPr>
            <a:solidFill>
              <a:schemeClr val="accent6"/>
            </a:solidFill>
            <a:ln w="12700">
              <a:solidFill>
                <a:schemeClr val="accent1">
                  <a:shade val="15000"/>
                </a:schemeClr>
              </a:solidFill>
            </a:ln>
            <a:effectLst/>
          </c:spPr>
          <c:invertIfNegative val="0"/>
          <c:cat>
            <c:strRef>
              <c:f>Pivots!$A$135:$A$150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Pivots!$B$135:$B$150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D9C-4883-9C70-51F2D79DF19C}"/>
            </c:ext>
          </c:extLst>
        </c:ser>
        <c:dLbls>
          <c:showLegendKey val="0"/>
          <c:showVal val="0"/>
          <c:showCatName val="0"/>
          <c:showSerName val="0"/>
          <c:showPercent val="0"/>
          <c:showBubbleSize val="0"/>
        </c:dLbls>
        <c:gapWidth val="10"/>
        <c:overlap val="-27"/>
        <c:axId val="1587073184"/>
        <c:axId val="1587075104"/>
      </c:barChart>
      <c:catAx>
        <c:axId val="158707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75104"/>
        <c:crosses val="autoZero"/>
        <c:auto val="1"/>
        <c:lblAlgn val="ctr"/>
        <c:lblOffset val="100"/>
        <c:noMultiLvlLbl val="0"/>
      </c:catAx>
      <c:valAx>
        <c:axId val="1587075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07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[ecommerce-blank.xlsx]Pivots!pvtRating</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How satisfied</a:t>
            </a:r>
            <a:r>
              <a:rPr lang="en-IN" b="1" baseline="0">
                <a:solidFill>
                  <a:schemeClr val="tx1"/>
                </a:solidFill>
              </a:rPr>
              <a:t> are our customers?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Pivots!$B$154:$B$155</c:f>
              <c:strCache>
                <c:ptCount val="1"/>
                <c:pt idx="0">
                  <c:v>1</c:v>
                </c:pt>
              </c:strCache>
            </c:strRef>
          </c:tx>
          <c:spPr>
            <a:solidFill>
              <a:schemeClr val="accent1"/>
            </a:solidFill>
            <a:ln>
              <a:noFill/>
            </a:ln>
            <a:effectLst/>
          </c:spPr>
          <c:invertIfNegative val="0"/>
          <c:cat>
            <c:strRef>
              <c:f>Pivots!$A$156:$A$159</c:f>
              <c:strCache>
                <c:ptCount val="3"/>
                <c:pt idx="0">
                  <c:v>Jan</c:v>
                </c:pt>
                <c:pt idx="1">
                  <c:v>Feb</c:v>
                </c:pt>
                <c:pt idx="2">
                  <c:v>Mar</c:v>
                </c:pt>
              </c:strCache>
            </c:strRef>
          </c:cat>
          <c:val>
            <c:numRef>
              <c:f>Pivots!$B$156:$B$159</c:f>
              <c:numCache>
                <c:formatCode>General</c:formatCode>
                <c:ptCount val="3"/>
                <c:pt idx="0">
                  <c:v>7</c:v>
                </c:pt>
                <c:pt idx="1">
                  <c:v>8</c:v>
                </c:pt>
                <c:pt idx="2">
                  <c:v>6</c:v>
                </c:pt>
              </c:numCache>
            </c:numRef>
          </c:val>
          <c:extLst>
            <c:ext xmlns:c16="http://schemas.microsoft.com/office/drawing/2014/chart" uri="{C3380CC4-5D6E-409C-BE32-E72D297353CC}">
              <c16:uniqueId val="{00000000-7B92-4CB7-8735-11AC0FF24B5E}"/>
            </c:ext>
          </c:extLst>
        </c:ser>
        <c:ser>
          <c:idx val="1"/>
          <c:order val="1"/>
          <c:tx>
            <c:strRef>
              <c:f>Pivots!$C$154:$C$155</c:f>
              <c:strCache>
                <c:ptCount val="1"/>
                <c:pt idx="0">
                  <c:v>2</c:v>
                </c:pt>
              </c:strCache>
            </c:strRef>
          </c:tx>
          <c:spPr>
            <a:solidFill>
              <a:schemeClr val="accent2"/>
            </a:solidFill>
            <a:ln>
              <a:noFill/>
            </a:ln>
            <a:effectLst/>
          </c:spPr>
          <c:invertIfNegative val="0"/>
          <c:cat>
            <c:strRef>
              <c:f>Pivots!$A$156:$A$159</c:f>
              <c:strCache>
                <c:ptCount val="3"/>
                <c:pt idx="0">
                  <c:v>Jan</c:v>
                </c:pt>
                <c:pt idx="1">
                  <c:v>Feb</c:v>
                </c:pt>
                <c:pt idx="2">
                  <c:v>Mar</c:v>
                </c:pt>
              </c:strCache>
            </c:strRef>
          </c:cat>
          <c:val>
            <c:numRef>
              <c:f>Pivots!$C$156:$C$159</c:f>
              <c:numCache>
                <c:formatCode>General</c:formatCode>
                <c:ptCount val="3"/>
                <c:pt idx="0">
                  <c:v>37</c:v>
                </c:pt>
                <c:pt idx="1">
                  <c:v>51</c:v>
                </c:pt>
                <c:pt idx="2">
                  <c:v>39</c:v>
                </c:pt>
              </c:numCache>
            </c:numRef>
          </c:val>
          <c:extLst>
            <c:ext xmlns:c16="http://schemas.microsoft.com/office/drawing/2014/chart" uri="{C3380CC4-5D6E-409C-BE32-E72D297353CC}">
              <c16:uniqueId val="{00000001-7B92-4CB7-8735-11AC0FF24B5E}"/>
            </c:ext>
          </c:extLst>
        </c:ser>
        <c:ser>
          <c:idx val="2"/>
          <c:order val="2"/>
          <c:tx>
            <c:strRef>
              <c:f>Pivots!$D$154:$D$155</c:f>
              <c:strCache>
                <c:ptCount val="1"/>
                <c:pt idx="0">
                  <c:v>3</c:v>
                </c:pt>
              </c:strCache>
            </c:strRef>
          </c:tx>
          <c:spPr>
            <a:solidFill>
              <a:schemeClr val="accent3"/>
            </a:solidFill>
            <a:ln>
              <a:noFill/>
            </a:ln>
            <a:effectLst/>
          </c:spPr>
          <c:invertIfNegative val="0"/>
          <c:cat>
            <c:strRef>
              <c:f>Pivots!$A$156:$A$159</c:f>
              <c:strCache>
                <c:ptCount val="3"/>
                <c:pt idx="0">
                  <c:v>Jan</c:v>
                </c:pt>
                <c:pt idx="1">
                  <c:v>Feb</c:v>
                </c:pt>
                <c:pt idx="2">
                  <c:v>Mar</c:v>
                </c:pt>
              </c:strCache>
            </c:strRef>
          </c:cat>
          <c:val>
            <c:numRef>
              <c:f>Pivots!$D$156:$D$159</c:f>
              <c:numCache>
                <c:formatCode>General</c:formatCode>
                <c:ptCount val="3"/>
                <c:pt idx="0">
                  <c:v>150</c:v>
                </c:pt>
                <c:pt idx="1">
                  <c:v>182</c:v>
                </c:pt>
                <c:pt idx="2">
                  <c:v>163</c:v>
                </c:pt>
              </c:numCache>
            </c:numRef>
          </c:val>
          <c:extLst>
            <c:ext xmlns:c16="http://schemas.microsoft.com/office/drawing/2014/chart" uri="{C3380CC4-5D6E-409C-BE32-E72D297353CC}">
              <c16:uniqueId val="{00000002-7B92-4CB7-8735-11AC0FF24B5E}"/>
            </c:ext>
          </c:extLst>
        </c:ser>
        <c:ser>
          <c:idx val="3"/>
          <c:order val="3"/>
          <c:tx>
            <c:strRef>
              <c:f>Pivots!$E$154:$E$155</c:f>
              <c:strCache>
                <c:ptCount val="1"/>
                <c:pt idx="0">
                  <c:v>4</c:v>
                </c:pt>
              </c:strCache>
            </c:strRef>
          </c:tx>
          <c:spPr>
            <a:solidFill>
              <a:schemeClr val="accent4"/>
            </a:solidFill>
            <a:ln>
              <a:noFill/>
            </a:ln>
            <a:effectLst/>
          </c:spPr>
          <c:invertIfNegative val="0"/>
          <c:cat>
            <c:strRef>
              <c:f>Pivots!$A$156:$A$159</c:f>
              <c:strCache>
                <c:ptCount val="3"/>
                <c:pt idx="0">
                  <c:v>Jan</c:v>
                </c:pt>
                <c:pt idx="1">
                  <c:v>Feb</c:v>
                </c:pt>
                <c:pt idx="2">
                  <c:v>Mar</c:v>
                </c:pt>
              </c:strCache>
            </c:strRef>
          </c:cat>
          <c:val>
            <c:numRef>
              <c:f>Pivots!$E$156:$E$159</c:f>
              <c:numCache>
                <c:formatCode>General</c:formatCode>
                <c:ptCount val="3"/>
                <c:pt idx="0">
                  <c:v>312</c:v>
                </c:pt>
                <c:pt idx="1">
                  <c:v>373</c:v>
                </c:pt>
                <c:pt idx="2">
                  <c:v>351</c:v>
                </c:pt>
              </c:numCache>
            </c:numRef>
          </c:val>
          <c:extLst>
            <c:ext xmlns:c16="http://schemas.microsoft.com/office/drawing/2014/chart" uri="{C3380CC4-5D6E-409C-BE32-E72D297353CC}">
              <c16:uniqueId val="{00000007-7B92-4CB7-8735-11AC0FF24B5E}"/>
            </c:ext>
          </c:extLst>
        </c:ser>
        <c:ser>
          <c:idx val="4"/>
          <c:order val="4"/>
          <c:tx>
            <c:strRef>
              <c:f>Pivots!$F$154:$F$155</c:f>
              <c:strCache>
                <c:ptCount val="1"/>
                <c:pt idx="0">
                  <c:v>5</c:v>
                </c:pt>
              </c:strCache>
            </c:strRef>
          </c:tx>
          <c:spPr>
            <a:solidFill>
              <a:schemeClr val="accent5"/>
            </a:solidFill>
            <a:ln>
              <a:noFill/>
            </a:ln>
            <a:effectLst/>
          </c:spPr>
          <c:invertIfNegative val="0"/>
          <c:cat>
            <c:strRef>
              <c:f>Pivots!$A$156:$A$159</c:f>
              <c:strCache>
                <c:ptCount val="3"/>
                <c:pt idx="0">
                  <c:v>Jan</c:v>
                </c:pt>
                <c:pt idx="1">
                  <c:v>Feb</c:v>
                </c:pt>
                <c:pt idx="2">
                  <c:v>Mar</c:v>
                </c:pt>
              </c:strCache>
            </c:strRef>
          </c:cat>
          <c:val>
            <c:numRef>
              <c:f>Pivots!$F$156:$F$159</c:f>
              <c:numCache>
                <c:formatCode>General</c:formatCode>
                <c:ptCount val="3"/>
                <c:pt idx="0">
                  <c:v>224</c:v>
                </c:pt>
                <c:pt idx="1">
                  <c:v>247</c:v>
                </c:pt>
                <c:pt idx="2">
                  <c:v>250</c:v>
                </c:pt>
              </c:numCache>
            </c:numRef>
          </c:val>
          <c:extLst>
            <c:ext xmlns:c16="http://schemas.microsoft.com/office/drawing/2014/chart" uri="{C3380CC4-5D6E-409C-BE32-E72D297353CC}">
              <c16:uniqueId val="{00000008-7B92-4CB7-8735-11AC0FF24B5E}"/>
            </c:ext>
          </c:extLst>
        </c:ser>
        <c:dLbls>
          <c:showLegendKey val="0"/>
          <c:showVal val="0"/>
          <c:showCatName val="0"/>
          <c:showSerName val="0"/>
          <c:showPercent val="0"/>
          <c:showBubbleSize val="0"/>
        </c:dLbls>
        <c:gapWidth val="219"/>
        <c:overlap val="-27"/>
        <c:axId val="681006304"/>
        <c:axId val="681013984"/>
      </c:barChart>
      <c:catAx>
        <c:axId val="6810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13984"/>
        <c:crosses val="autoZero"/>
        <c:auto val="1"/>
        <c:lblAlgn val="ctr"/>
        <c:lblOffset val="100"/>
        <c:noMultiLvlLbl val="0"/>
      </c:catAx>
      <c:valAx>
        <c:axId val="68101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0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Where do our customers live?</a:t>
          </a:r>
        </a:p>
      </cx:txPr>
    </cx:title>
    <cx:plotArea>
      <cx:plotAreaRegion>
        <cx:series layoutId="regionMap" uniqueId="{7826A02D-84BB-45D4-84F9-D805D6D07BBB}">
          <cx:tx>
            <cx:txData>
              <cx:f>_xlchart.v5.10</cx:f>
              <cx:v>Qty</cx:v>
            </cx:txData>
          </cx:tx>
          <cx:spPr>
            <a:ln>
              <a:solidFill>
                <a:schemeClr val="accent1">
                  <a:shade val="15000"/>
                </a:schemeClr>
              </a:solidFill>
            </a:ln>
          </cx:spPr>
          <cx:dataId val="0"/>
          <cx:layoutPr>
            <cx:regionLabelLayout val="none"/>
            <cx:geography cultureLanguage="en-US" cultureRegion="IN" attribution="Powered by Bing">
              <cx:geoCache provider="{E9337A44-BEBE-4D9F-B70C-5C5E7DAFC167}">
                <cx:binary>3H1tc9u20vZfyeTzQ5cASIA4c3pmSlKSZVuy4zhJ0y8cxVZIkATfwPdffy9tJ7UoOYd+pprnuaW2
00mkhVa8AOzutYvFv+/bf93H203xrpVxov513/7+PijL7F+//abug63cqDMp7otUpd/Ls/tU/pZ+
/y7ut789FJtGJP5vWEfGb/fBpii37fv//BtG87fpVXq/KUWafKi2RXe7VVVcql+8d/Ctd5sHKRJX
qLIQ9yX6/b2zicX3tEjE5v3ue/j391epevdH4m/jrXrnpFVSdu/fbZNSlN1dl21/f78zFn7/7rfx
V+6p9y6GX1BWDyBMjDPdxJhYhskfX9b7d3Ga+M9vawhZZ9ggxGCI6cML/fjy9UaC/BuVe1Rt8/BQ
bJWCH/r4/8OD7PwqeEB/THsw98MDGnDxAaLf339KRLl9ePex3JRb9f6dUOnjEyw6Jx1+/aePj4/r
t11k//Pv0V/AAxz9zQvwx0/7v721i+9/wd5J40ptjgA7P8M6x4Qi8xFVHebNDuwYn+m6RSg3zF3A
p2t0GOuR/ASYRxInhvAfMayjh2NAzM4s3bCwRcnTymb7EGOGDUYB+6f95GlJv0GjwxCPB5iA8Vjk
1ECWm4e0OMIyts5gZ6Y6towxuPoZYxhzovND2/YfkxV6BeJd+SkI70qcGMBOClZnWMSqPMZSts50
ZHFOCDtspGG3RsSwTIbAfL9cy2/V6zDaB0eZgPlBuRND/o84E8n2KEubcmKCgTYOY444rHDGTJPB
2n+J+XSNDqM9kp+A80jixBD+msbpcfBlzOCGDg7WruuFAFjwtxEd+dpTFTkM6470BFB3Pn9ikH7c
JO9WEBIcA1d2ZlgGY7B2X3e7sIUA+RG8b1LqMMb7Q0wAel/oxNBepckxgIbAGDZfi4JhfnyN/WvY
oDG2LM50vrtBT9XnMMY70hPg3fn8iSFrV2V5DNvLz0yECWzNr9hejM5M06AI4dEanqzQYWx3xSeA
uytwYuiuNoXI0qPQH4+bNGamhZ/oD4BxxwbD2uXUYBaGxfv4Gq3gN2h2GOm93zYB7D2ZE8Pb3cbv
1imQrf+8t2WAT2WCVcZDGDW8xps1NoAQMwiQISM25E1KHcZ6f4gJYO8LnRjaQHlv6m2xOQapbZ0h
TjHC7Imz3mc39TNqDfynQXcX9puUOoz2/hAT0N4XOjG0Z/E7Ny2ABfvn1zaxzhjm1MTPPCcHd2tn
M8fAhXGOgB+hh7iwN6l2GPP9ISZgvi90YpivNg+wvo8AOAXjjIkJ9vuw9QbAdQp8mIHGnvdkjQ7j
PPpFE0AeSZwYwnPI4x0ltqJnjCBqmgg9mevxkh7IL8uEf9AoPTVdo8MIj+QnIDySODGE7yrIQMqj
EJzsjFuYG4bxlKEYMsvjbZtYGBLQmOwa6bfodBjlvREm4Lwnc2JIAw005C6Kqj/Ojs0MZOiIPq3n
cZXBkG4GrkTX+cghe5tWh9E+MMYEvA9InRjii3ibJEcAG9gTrJuIY8Byd0VDmopbiIHp3l3RkzU5
DPCu+ARsdwX+F8D6axV3fvFQUfLHj8d7oELorQVCDGhOg1KOXtmmwRRTxDBD4G09vn5891M1AUQ2
PyubnrJUh3Q6jOtL2Z3f+PQTf/1Q/tfV+pxX8lsaP5T//Io0IACyKDKM/RVpnEGaiehQJnIIvLeo
dBjCvREO4LjzV1DwtidzYkBDNVoiVLypjkF9sDNq6LDDUvIUG+0VdiEo7Boq+tioVOBtWh1G+8AY
O+AeruM7IHViiC9lti3EJv7nlzbBwG1gyzQIesIbfOUdm4vMMxMCKRNBmdDwGiUs3qLZYcz3RpiA
+J7MieF9tYmOQGITfgYUNdThQlXX42tvbeMzjkxELTbyoqfqcxjhHekJ6O58/sSQXSbdMShMCrWa
GLxmKAj5YYd3V/HAaHNKLWu0a0/V5zCyO9ITkN35/Ikhe7ktjhEMmWeEPWaSn7bfPZYD3Oehtg8R
DCmpl2VcU/U5jOyO9ARkdz5/Ysg+R/Lx5ihkNDsbTkfAlvzsQe9RG+gMVi0yzHEl/RvVOozzoUEm
wH1I7MRQv4QTPMdwsOkZLFWom/9xYOYANU3hPSgNGS/oqQodRnr390zAeFfgxNC9KwQc7en+eYd6
iJUBYJOZz1TlXqUAOFlQGYTg7Mzuhv0GlQ4jPB5gAsZjkRND+Wqj1PYIVhlANqCw2uLP5T/6OGqC
DCKFtw2LjhbxdI0OYzySnwDxSOLEEB5qmo4AMIHkEjNgEevPRQF7VhmfmQQBvHzkUE9W6DC+u+IT
4N0VODV0t8lDei+OkiLmZ1BDDYVc7Jn42EsfEqjoYpSQodbrpWO9eotSr6C8N8QUpPeETg7t4h4O
2zr/+BllcLF1yunPUuu9xQzbuYU4HFE2HnmRkWFebafq9RraO/KToN6RODWcU1jU/zzMUKMJpQAc
XOdnz2svfaifmQYkoyBYHq3oqQq9gu+O+BR4dwRODF0IDd/Ni01yL9R9+uM5H8jZAfn4tk4DDJJQ
us4gGD7McUENgAEdF0yLjKq2djSaMu8Ow3x4mAlwHxY8MdjhmEi5LbZHiKgIPaOMMkb052rcPWcb
nVGTGpSMT6K/RafDmO+NMAHuPZkTQ3q9yY5RlAnHoTjQIsB7PCUn9lDGZ5BkhsjZGhV/TNXnMMI7
0hPQ3fn8iSF7VwHHeYzEE3BeREcQLL9eA4L5wHKaI8s8XaPD6I7kJ+A7kjgxhNfbenOUZiFwVpFi
ZhH9uaR6b/VC2QCCZjDGuEBvukaHER7JT0B4JHFiCN9tg408wv4MlBeUAFBo9vRKSTW4X3AeBsGp
xidSbBRETdfrMM4j+Qk4jyRODOebeHO/PU5LGDhyPJx2ed6rD61kNpSL4J9u+Et2ZLpeh3EeyU/A
eSRxYjhfQyjlH8MmEyj8AZQt+soZZQT9n0xo/0PHJT/TNTqM8Eh+AsIjiRND+AYOSBzlFCOcQSaU
wbm25x17LxOlQybKAsKEjA7BTNfoMMIj+QkIjyRODOFbAQdVlXg4zjLmlm4S8lwesl8fAuQnHGOF
bPKIFXmTUodx3h9iAtT7QieG9kD3XFVCvbv+JlR2jGovEyJhTMGdBj5seO2lLiD7CPMB2kuMMP+/
UO0w8q8NNAH/10RPbhbcF9CZMSmPMQGsM5NBdy/A/8kH29vZByp8+Acqx54nyEsf7ePmLbq9NgP2
xpgE/p7UyeGevLO3UFtyDNyhzNPEQ2uZ595Q49oh6Ctj6FiHoxqjAt5h0U3X6jXE98aYhPie1Eki
XiSb4uE4mWo4YwOtdJEFHNrjaxyRgacO52B1iNp+pFuejk49gf4WxX4F/N44k8HfkzzBCeCKrX+M
FQ/HMxCUocARjfG5DAYnr4gFs+J5L9jHfrJOr8O+O8RExHeFTg3sYKOO0aMV+DXoxAmIktd6zuAz
gFu3wPMbQT1Zo1dw3pWfAvKuxKkhDLbyIt3k1bEKy2A9GxhS1Qc3czDhmEN1MOdPTPqIRh329Dco
9wriBwaZAvsBsdPDHha3vSm+HafY3xhKFIaqwVdI9OEwNLeARofO+Y+v0VJ/7LHwBvVexf/Ar5w2
Aw4IntocENviKCc9oK8B1aElifUUlB0qGoY3YXpYh5f+ZL1eQX1XfgrcuxInh7OKRJdWUyqC3laq
NHQLJFCIhH9cnbAXp+EzCkesTegyNVrgYrpOr6E8GmESziOZU0M6jTdHqSEeWvhCDmWoTXp87RFx
0JbG4LCc9+LxyRq9gvKu/BSMdyVODuEkPUbWG3oDGoRTKEx6rfbsMUCjBjSLG61kaBo9TaPXEN6R
n4TwjsSpITy0aj5GvhvOARCModnns0s2DrTBIafDKt+rXPk4WaNXEN6Vn4LwrsSJIfwZKOrqKI4X
9OYFt4ror11/Al433HSDdKqPDvO8QaXDGI8HmADyWOT/Bcqv31b28y44d1NuZo+3yL24sOzX7z4+
IrgBbyT6fLjmcIn4U9pi+fD7eygLJeAXvywbHwbaOZrz2M78xz68K7QF2ub39xos8zM41TMEWfqw
7CmQKc32+S2w1tCGigGRygglA+WWQDvp4Pf3Q/ETNCSDmAzqISB6o+DQqbQa3oKmGpib0B8WmvkT
OEvEjZ83/d2kceenyc+H8vznd0klb1KRlGqQBpche/rcoK+pm3AgCQJEC7Rj0Ntw0C+739wOZ3/h
GfyfOmuVmfgBuVatoTt9Wy+bzshdFBJiFzSfpwRXdlF2Xxjuiat8474g1lXJu8g1dU/Ow9YzFmUR
XJZNqtuJnqy0UC9sq88qt1X1ui2ocg1ewEV3afWt48nXQPizTsa3kREukq68wATf5lkW2mHeVTbP
sLILhK8SGZm2r7FPKuKpE3NZnveN96lPwy+mHzA7TfvWoa28Nn1yjRo643l6weJ8GZk9Wfa1VzhV
hC2nDtqFH/UzbGXfjSy4rRrfvEh8b5F1xTdLdDZX/edWydSOsMQ2wVFkU0MmLsk8R2/TymFZ8LlB
1V9RWxtOEAXnuEoTO1OssGVACrusy8QRGVlHMr+II4PYTVF8z+sA2a2Wlk4fW9dCFpnT+Pl1aNbZ
RSvLaF4Jz3eZTCM7Cgrf4brvrRVNdTfgVU/t3Oi/W7iO1rXB7nsBDzfzZPABe51uB6rYBqXOV2Ea
L02uYdvDWbcIEmVdK9HKGWMNoFYFhl34pe9Esm3s0E8Cuw4RXYi69W1a1Oa50TL/g+4TtOiz0Ldz
X8S2TIhvk6ZJbSGJP9O7ODwnpI1nmhB4EQZx75DesAltTZgCaXouPQ+5qO30RWwoMTf0zJsbDYln
hSzxokyJnCUkvEJJftmX4XWUoGXZ+b0rpPXd60Nqh0waM00J4nZVF86Qx7pFVPnxTA8DCx4E6mas
yPmiDKlvh21RLThWtS39InN1gcRt0jBrUWVmMINdNzzXdc9z6zomtiJE+xBDZtuWPfzSvKXUFlSn
c8vXSifsGsvuUj+babJCdhRF4sJUqln4OLjrsLqpKj2ZBZrV2WmZQTM0pWwRUNPucm5cZFwR20ed
sLt+eEQCJ381ygw/JYFAtgp4ct5ViWfj1k/t2EvQtWkFvh1kvWcLeO42KbTq3GqYsIPGaCqXVeIh
koLZesi8We1L7Vwvw3llxjPPS7jdSJrZkieFTQwibcsIK1sLG8stMhk7tA7phx61H8K2uqWNjGYK
h0g4MY7XERymODej/HuZ9N9KVAfzMkOVHfO4WAnUEoe01I2LnC5p13hXVGP1wvIS4xZr1WfB01Jz
9bJqvUWAW4RsUWX3DWjFei2yvSCMbWUF+UIT3R3SGjRvA586es0vEonprGk6ZPO6WsLVkZ2dsb53
ytifiSTRLjRDPxeEfKpVWDrKD+5kHl6wMLlpmHI0ja2U+ZfH8GWV0vrPLoq3DS2vWkPT7KRAoWs1
VXNVKZacc16GtihEZPuRfoXh24IsuKxr43seWdhBfbzSGx3ZNWefeysxbBH2ll0q+aCY8m1PymUa
dh8g93FVmUI6aVATN5FWuogEqu22Dky37dLWrgVjdgEfTxTOHKaIOe86gBDl8rrS/I9x6/2lp9XX
zIDtwdKz2mVRcSkatGkjSmcqIr5Tq9SfowotkCB2HhnFrA4VtlmPpB2reqWs5ksF0bzLNOOGt8yy
U8mSpWWa8MlSD+0qimsnK9PLKtTPY6tOnNrw5qGe5teCl50dxqFuay13yxY6Ins0ss1auF6A6dfI
q6Q5S5N2leDyPjXYMqnMP2NPmkshkR0W/bcW1YVdpe05/Oh4HmC9siXq3ZiydRDCLsNTzcZF40Rc
S+06RedaTs+7JndDLEJbE80HsEhXMVbE8UT8rbT4OUvIGvnZQjPyhd8ELmDqtDGCP5ubwBLCUaL6
rgS7ifOmnNVptyylEcwqFjuaEX3wpKeBLaicmHSXQRl/kFxzkQju4sifBTQ5Z1WcuJUUd7EonQrT
wk48xWzZ9eeeha5E7Fi6am3FsUOwvvWqpLPBjmndQllYWTdCRrHj0+RWF0Uxe3kJ647RvU/BaAg/
eL5h9+cf/3OXSvj38VbWv/9yuKD37z8ttumQRlXjDw2+0c9P/X2z6+CL/LzmdeThPN3y+4r788s3
X/eNXno5JiyDF6fp9tyil30w/3aonqR++EUIsszDLb463GBhQmdsGPCnXwSs9VDXD40BLejjOdw7
9cMvAo8JDVcY6UPzTrgcA1ymH34RhgPyMCB4MhbktKBD0Vv8IrTnFnGoK4fOZBSoFgLZE6hYfOkW
lT1Js7yq2nXSED6rGy/I7JSELHIi1tQfqGZ2F2FbJ9FM16Pya5ka9afIUG0OcyzJv7x4ege8tKET
y66TBpe7wPUPcH2eMVyROnTyeKmNkXRZxIOqXuM8QWvwZsCsVCylgdPWZcrtujGqr6zONAFbk1Xm
Th4WEexqvWKGA+XXyQMvS/0axggqF8cx+tSbmoUWHTW9Leo01M5/rTEGNmJPYzhFBx0rwFmFdp36
SGPBAsC2K9ekNX3fpW0ff6qBuiLzknWpadddC/u3YJ5l94wONjTSyULWRYfcok7Lh6BVCjlCy0xX
wfXWtV3KQK9tVpiw5P00DG6iil9IxQPlApfCP6sgv4zixmxnQml0JYqglotf/6p9GKAQXYf+hXDt
CiTDH3/0C1+ZdZrfaFms1knp8c+pbyFsGxGGqZElVXvTtAX/mHko/vPXXzvMtZcuOpwTBx+dEbj/
A9pDYDKo9eJrTb31jUz5yTqxerRGUVCtE1U4wvKCz7/+Jlg+e9/EoaCHQSMROJ9ujeZZlhhdnxdB
urYy3djkTVrEC6+0OmxHWTDT82rw/fTOSp2QmI38b5NmmBS7PxQmCrSVM+CeE+jyOv56oD1F4CdS
rFkemRsZVuYmigcdzF6qGS3S1O50gH7RgJnAYDlTti1jrpYN74yrlpJCd0gTppETskR+IkWGiRtY
XbfNtBpcRa2XzDF5ahTnJqF9Zf/66Q29/Mf6s2HbgGQa3FMMvfF2gdJpZSam6WkrVHlyI4oSPAuk
RSW4G6TrEv+iCUT0zbd4dtX2eTCnqdEKB6OafS/BLUqdLvCZY6RhvRUFYQ+1mQXs4tdKGuYeyOAd
wiQaEn7QkcJkkBJ4OZ1oYQm9CEqyCo0887jlljzoF23ZEj4v66pyijbXP9SyMys7CALmFChZKFxk
4N5n2IniXN5msSlbm8WN/6UJZbrsVFnamZlnn6iKLNfLE8+p0jAUtihJ2NheqJJ1k2nqOtd6MvN9
xMFT6L1EOrgO5LlJy/gWh/6N3yWkteOK5evSy+9KLDXi0hrDgxQdhr3BqPre1hsrvIoD0/rq6ZVx
EVCw8b3f1txp9MAA7y3uxFKzik7aTWf1LmpMze3D9j5Tefmx0jUWgDddsrmn8mppeBjf5QFqooXH
NCTsPoi8b9BBrahtkeTaX5Vk0s0yhZfgSGdLlPP4QdQZeOMZkdFHwb2W2XVu+BeFV1ROB89hgQzM
r/NGtjOjKfI5QuBVzWK4ERfcv8a3cqfGgTeTihRulfHrwNN83UUoLc/B1ODGSXQIjKySxX+2Ug8u
ccGzjyYpzUXFQw3PFZX9xqJpMVN6G/bzOrL8uda2+garuPmu/CwznR6X4LslPq79eVuGKSyOppl1
fl1Z8yL1AjcuiTxP4KM2GKAihQcta2aHKgw1h3kNs1lqtr1tlLHnkFJL5KKg0cw3qk7/0BBkuEIV
emyHMJPKOSkbrhYtYe0Vjfo+9j5UTV5KaXci7pLiIQD/E/dfVaO1TAY2L2ArT+9xJ8MSguiqrKpM
X5dRKaP2gou8X9S8Kr2lLITI7BDH6UedaWQZdoRUTgUYeBCH6bwFuKRluYnngT0s46jJZzRqfN0p
4hJ510GuU5aeRx0Dv7NrY15eUVUSmFGNlyLVOBXYwjnVgtC7rmHpUN/JrcyCCUciJedJLApuxzkY
L2/W1oI6mgfZdogBPT0x4IJlCB0ciNgbb97ELJYz5YFXMAdORfaO1ZuwYyY4MipHBoUW27XqfHWj
hCblLPWF9V2raiZ0V09xuRCGVVlrU/N87yIhrGRm6CStyvvuXEFqrwhmGTAfcuapus/nvFCJmHcx
ld25rpTMHBN3sXBYa3bxohC50ByAFX/RMtkjF0r6I+nCf7p2DeGBpuCRJ8mXUEoul6TgZTyLgpLe
9lVJyDzUUowugyaA4MpmAQ7KhVfUWfIRjDG5CP0eA4GRgQazFIK5fmahtueOFXZZs5JWB1Nbg6VS
uB5C1UVBTDN2fY/4EOQmNcApmAL/JOlD0m/jCDIirgUKSJd0MsiXSBfGuS9YRB1gY3LiilR4bl95
wAhpTZHxm9BrQsMhIg97W2Zhr13qXmzMUeb5JqjLWTZDXdCnSwjFG38WcSNo7OFzNuKCJzB9fJI7
bSO03i5bof1VQB/VTrMFrCO8Rn0iemFbtaGRuy5ucLWmGe9SN+F5uTKrBEySr1gEAlwSeFqeCFDy
tUdxElzkwG21c9WYvbhEpV/eGSE2N2YLMYxtIZi88yppGZkp2gtQvkKhdGOSR8qxGm8GbEb+NW4a
8CxCP6w/KpM237IiIOc1a3xvZkWmju3E8mAcM07Ddp4UNVr3bUaMD6o00R0qNfhEQzVlOSXqWDur
sQzFedFi3CwT5it8LTTGPyd6PkzOMMzVgsUqUDdtZ5SWo+cNYBM0CSiWKth0L8GC8c/E0mF2S9gl
Cxea27TpslTcwzdhUUXRLbYSbixbI2yqVdmWg/MZdO2NGWm0naWNhK8Gwq6HSBrLsl/oERt+/KB6
A/sT6JVJtDbMBH5FlZvwqIIojXqHRzUsnSz2I/EhKRgs+aICr8CH92BPxWUSXOfI6IrEJlmgA9xN
0VYrqQUZMDV6lbfzFro8kFlX53jYNGAxOfCLYANpORr85DKRnz24qevCqoWwbCsAlsRpO59umoSA
Gm0RdrekbHV16YObG16mWRKFHy2wFguV6Gidcz//CkXSNLcDIxD4IrV8Xl16QerXblewvAEHtyOL
DMNjdXSWd/dRHJk3baX09DzXuzr60lDpK6DRNPm96/mwh4g8DlyIAywyE7gL1Dyjkn/RBsJVNpmf
28yAba4rmuBWpKW65DIKgY3DBfZh24ObBe06wPxzEWq1P4txAsuk1zzCl0aSonwrYUPuLuDmC1gb
zbBjz0JTgyfa1n09AyPT5JeogDDa8Xhc1mBpSa2D652HfxW85ndaB276Rc/LAj2UKukU8AOI1UvR
YBiqlSjoHaPxqb/MAJbG0SJO531a1+Wq7Vj8MaxVbltMnRuyBRKybyiAE+lI9YssjtJ0ldDWuNJK
3UhnQZ7I+tLvmixwLFPJ4A48EfWg8wS2Edg6gQeMAtUomze1lYMV6PKPsZ8j8SdKe2LVdg8eWPcp
K4nGYTDlFbOAaZF/oXlZ8y3wda12YqZotBRcRx9apXn9oqhyJWair2CSClyG5KaN4t5cAwEXx3ae
1TpdGSgwWqcD70bNmiAD1BorEb5d9EzC3qFUPANmrS3cOsZWseitHGZ/ZLQ+czvgcJXjZYrmXxqz
Q3dhUMBcA0vHP8Ncl+om4QmCDRZnPJxbMqCN3VZfsVU11kBT1uyTiZO8cRvTL42V4QEFdJt7ihdg
3GFGzzJBAE0IHLr2SpAySq9YkQXkBrd6TJdem3L4XW2r+auo0LLGlcqDPQO8sapcxcAFQRjJI3+u
AisK3KbV9WWXG7DuO0hWCNvwArZ69Eqf8zo3T07+U2LiJZfxktqYwpGsxH2RqvR7OSZJdgb6/5xJ
+dlO5O+EkQE++s/mRHt0yt/3DbwkYZ7yU4PkD0oFmkASICygmysUAlE2XCb3k1KBgxrwFoY7BYmJ
zKFxzTOlAhUHOoNDm5BqYpCeenzrB6UCJd/QKpjy55IEyA394JR2EIUU2/Ofd1JNQ1uknfDIBGoG
rnJ47C4MDM6Q/HwZeGiWRqKijdPrqgMHcRXizAzXcAlTiGdlKeMbJvK6dGRsrs0sv6kC697wg2ZW
YHlXoziFTUZe5bj4GnfpRaySWyGFW2o4tUnorYAcXWUthH4JA/6e1L5bqOgq0JsvfZhsuQD2L60x
uHsRTT+Yfj9H0gjtoI/tygsiFxuVTeIyXJWVZrfUMtyC1An6hrUQyN/Gj+eNX1toCVdZFOICR7T0
FxHSDIhFak4FOCEE/HVP00lm0zpbMsHkImf8gsZWb9wRr4SF48kmrFzO/cC4KkKhvoaNB7RlTSSe
11UdAjFehZdMJTSEhJepGkh7QODClVWE51HC6n6WF76ezyQ0g/XtuGm/VRRc6SZOvrDMrJwyaBZW
zYtFJugm81LPZU0OGQErbuakSlfC03MHq9Kws0DM8t6DVBIns9SrP2Hd+6wV/bJk2m3NpJPUzdLo
ErfWgHBvzGte0862MgrmBd92SmwyLb2EOE2D1Ei1qlgCbqKWnVsBy2DzQLd1pS0hVp4lXr62/Ow7
Bh9fas05EuUF2Ltz38uvfJ6sJW7XVVp80zt1y4P4HIf0U8RrNzDZuYf8axrUys7j7GOc9TZLhBtn
+qIx1W1RWi5pm2VIjS+SUVvn1oZb6iIGF8SxJMGzkH9PUDozYromTTVrUmthZL2DUrXyhLrhwNsV
qndZZbmZhmYJC9Z9Kq+BL7C52QPHYpyrFn/pm3RV49CGnOAasHSysJkDkbYOvXStCL/sIQUAhRQX
oRkuMqr/hU3Ys0W5ykj5zU+tcDZA7zN+ZxRAaEm0sGh7hWpV2hXX1xWGqCQP1wXFH/Kuccpe+2QG
ZBmHA8JV6maRXCoErgm4J9zLt9xQTp3EX1gYfEr14LYMtLmXmVdwem+OK7nWwzq2aYeuGqP9VoMS
DtgSF5JuV17dX1gMORD8X/kMzTXRXjZtsEyVBHPcFduC4duat7dFF3Hb82vzAzOLhaBNsKaesepM
LK+LWA+XwJbnAVjGlCAwwvC8zDa/1ql51SCYUhV4gnGtNCenTeZmij90frvWW+kaklwx4X9o85K6
bSbANsbMJXn+Vxl2MP0IhTDbW7R53c014v3VF/Gq4W0ANrC6i8A9JhphYERLNcMpeOgoSjKbSIM5
WlC0TlZryQwHaOUZxq1RiAKSB7KEjCEgXocQNWTaQhkQytdhep4FkeZoioXzvEWrMqwWkecP7BCw
C6qawewAtDAubV6pmxy8WScx1CUmfeEEnbqMpbg2vOiK5NoCkWYmab7OMBZ2k8v7zJAARq+5uFGN
G3odPKySfjBja5mCN+EWaUjsJPIge9a3paOFlZPqmDs4MCENLrIrKeLKjkrNkTj9swRW0u6wrB1N
9usKkVUbiQdKcqBQLHzuZYlptyII7SSsb2mCP5ecXmimf25pVTwHVy9zdNGsoJFhZ9cG7ABSizOH
A2fp4tyr7EZk+Tysuqs0R41NibiGoOtTTSvqBEF751MT5jvQIgmkTGsruvYgrnaCXEaQwQw/8Vom
DhcBtw1Ta676lMSXgUkj5ygewv8+268Dnfu67f956e6+6R8Ef5h+qCiCS1TAhMMqHypJgLh9YfqB
a9Kh6wLEC8Ajg9X9YfrhKgcKVC9cTgsBClAb8NYP0w8nfsFUI8tElk4h+fAm0w9NL/dMP4wDvTIf
74MxYNxd05/7XmtqsOddg0v/uUk6NK9J7mrQDNlmoSpugAr8H/bOrLluG+vav4hdHEASvGwOZ5J0
dDTLvmHJtgwSHECAAAf8+ndR6SRO0p2ufPXdvPXGFy5XuaQzkAT2XutZG+zQd5F4DcmAFStsZYqd
KE5pB8pjdKb+ZBnoEDgfKnNL8tKMTZwrTtdsgCC7swRARbc17SEkuEwTIwpZJlMmYedfc24B1/VR
Giy0OkVD/JSM/ZFVVb+LsMSkcShOgGrZAaLrUdfLSzlHGyoxPChRrWnk1MnBc9nXnkyPS+BegRY4
Y+ldUsNKL3UV93ZriJVwmJ3rdq73q/RsJmxyxdf2U6n9k46GEWKKeXAnVBJMQqgyc+SmQCi+RKpx
Dlov2DYh3OwSsbxHInqHw8VzQAQmH+V0kyzBa++L/jQYFEKwv94gm95VYhZHvM2vSd/dNiH85mDa
lsJIiOeFr6zA+EpUKaXYh0P0BtFnxwS807JyUht271HrFUvDsCG2w5441bdYzfdz1LCDm2Cz6aYQ
yslsbc5rJyqMs9zG1RykNfOf65LeTEEJ+8P3BCAIKtJ+mEFy9M2+ReUQRPozpAL0SoEe94aOt9aS
+Yq66zPFBk0vyziz60EvFo43JSq5rpzhuzVVmJbrxIuRG2hry9Zs2HbZd3XdpbLmyXGQa3UXNP4T
3N86HSAAHnxapZY1wSfrxunQpUliHk3UsrPW/XCybqfQ+DnNYQhFMXP33hPwn4KeYr2s0bo2bv1c
z+EAwcLQNHA0zwMGfXiIhiUPBXRtxxEXxssyjUa29yP3ESIxT2euvsEgPKCjOhHT4yteu7zky8sQ
1t/ioLsuHd6kvSclcCDdoToyb6Qb14yT4JPjt5+dIQhTj8X7NSECBRk/+C57kLEY88XYneMHfSot
3a19ky88zvu2uY7KGOYCbD4UKQ+d7b+7raAF9NwojcIVTEAD/Wty+Fcvcl4R7d6t1XLfYr9fJ+cx
dKrPum3fK4XtXRrnSi7q7Abl09Lzq3XucLVK/5l1QZ9VqnyEqH2FbXlMB5+RXTDEqJ1pcu598qmM
5yfM8bFpy1qeLU6iUoiYX0aS3M+Kn9mgdn6J+oXG0+3skftgxWfpyvpOjd4RpmuGJuHEhjk10Xw1
OOEXtupnSljG+hC8U3hb1fYQqC4d3Fqmzbi+hobSPWdOlzY1THwsc0PKpANebIMySgiz2VSrVzV2
pyCZbprAP1aufTY9AKIJykcmg/k4qHCzWzaUymnvwRt9gX4POKFpVWojut86/QIEAS1KLVBiVJBb
0CofLMG+zoeOQz4bsmX0dtQHULWtuFilUGI2ZLoIA3vSl9rdmWm9Y+46pJ4rDy6+AqxJd8Ea3XCT
fA0jD/dWHD35EbkJiORZYMDHTOtQ5WJb4lRl84m5D37S79oYu7o/jF06Am7DWVrtoZuCzGu1SVmn
oyzC/WYse/Bc8iXuwEAwn940U1XuGXOcHR/bexxvqgB2NR6Er/iLD1W18PqWpiQaijWA/tnVPkmx
ku4aMBhK2/KBS8uzWnmPfT31qfHi+utQOecICk4hRqwRdf0yV9OtSqpDF9LvdhFzoftyBtzkAjaT
A0qnMXSSFJJO99KB4mM31mdrqqMJBbkXXoVUPSZrWcGvjv0U3tdn1HNJMZApSHVjX0vUoWk8jV8i
7cjMGnUhdXuumHcbhOXnZTTfPWOg+vXq1Fq/aBhpC6PDO4PG0iQQtyNXCXx+WdB2uXZRWkI57N00
nFGgQth5DBaQR6V7gob6zGGipw2OKcO7sa9Js9yMcn3uwvlumPkF9wO+hMU8dQ2E1rByU71hcpPb
7008mXRJ9EMfrGcvGk/wYq6Iuzz1PgpoEl4iNuZDQvqU4h8LqeI8bqMlXUOCTS6qfWBIGhq/izIT
a2yOSuzQy/6guEazAx2I8Qi+WhSgwvZKkkZe2e6jgR+tpe7RaaCb8qjKVS2qFCilfwQAVedJy00h
gqEvGlehIAXzl7Kl3oHg5D9Znv+/dZv/bVXZNqLsz6qyf7Ygdb69/b4m++nHfq7JQP6SbQY86iuk
NYIYNdEvNRmy1TFgFTcAbRR4W7n0c02GgyAQ4cEIJVRJKLu2//q5Jov/gXmWAeq8CMwwSXz/r8gx
3h+hkg0ijlArQjHycUbf78x+ujCZGFqZW17r4UTbhNyofrmifSuz0KjnqOtyyXVz6EXc2vdKjNK5
M2j2VmnrDIZPe5dUQ4/Hdb3TjJzQRoqdbEe0ZXYFqQF5ZF+3E0lB3e4YFqUj7EA3YwNuZAi2rMqS
Sfa7Lh5a87Cy4VNSrSJ1MGEsjeHJ8AwkMDlNi2NP4dAvVZmtdK1Ppm3y1S9RMznqOxQEC0jELfer
J2BXe00CzJBNzwPGv175ddTc0KCHG1s/DCaohoJ2q7sbPIrWUzkA7Kakz0UAsrlt8TT6m6yivOSq
iZUuJPOyUPt6Fy7DmYbVlE6BSHZTa5fUKTVMnqqfD2oez944Jpnu5SeFqmb15qJy19wf/RuXsKvZ
6irVfDBpDXEaKy3NZoMOs8cVTlnpaKg8mn0vZxF9Xi2fyp0M0V3DpYaBWI3eIVHmvmqCB8rd3hyH
qHL0XQ2a9gCfOetlFR1kuI79Q6RdbMSVKeMJJSKw7MDDs5+GZfgd1N983MKJe9M3TW67/rLy8RyR
4dS31Vm6/hXVzg6L+8npolxYiL+yB4hqs7Aevs29f1/r5NPfLZ37ERoAUvGfWzrQcW+Yz/Y2/n75
CPHDv7Z0UHMxwXY7RBHMEf76saXDIL0ER6SC5keV9Ts1N9xmNLkgUADQQPH9cfmgG+OPifbgU7a1
5a8sH0Dr/tDSBVs6Aa/kAmXAYRa/bel6RkFYT1Tcum7LDgOA+oo5NFXBfIVtccU97o/Xi/HFPnBt
sE8Wc+k5AT/Ud18U8UU+OuOhXauwSAK1ZmyOgpSTSmag1m3KndnPK02dNJaRzZ156S6SJS9VCP1l
UkGQLa69gg16rUJyoCKB++VUe7kOLyVlIrOS3li14tkSzXQwrT6xjqOUJOHJUjQTjMQ3aIufWIjn
Utf0LpnjJu9Vfadd9YZDHXq4Tex56tAYzKCS4MPHU9ZM9ibq45elhF3rBcFr0oqXaJmukgZ6W9w+
OmF3o+k8ZHDmnnqFWsPxQFiU81VsyX3f853HnE9+vWRMsp12ZZyNargeYvHqU8iUVQdNOlz20xL2
KW6KN93SMe2XtkqdWBd1ZKsUC2+bB2qJgCDItaC0N8U0TSsgG8hz8wJ7mAUHUaFmXWZznlvUKMzO
3j5s9I5H8n5pJp6Fjddnjm8vQRl99fXw2Jh1B3upSwPWXxYSoXXojjXc2rSMx0tk4qdKlgwV2voa
1Vjkt54pR7ylydq+FrsAvVTe+zGyIPZOLX2886r2tHhoN+wmL2r/KaoggEI+LrNIJLd8iv1zW8aH
haLrOZPqGBm+kT1X0cp5hoTVro4nkRIJJ05byKiBnuDM0dcqQgzAyN5PW1HvvQ7Sc9OJr00ciZzr
FRWz9HYthc/mImmi10ONljLtOv5FqeAdXsg7oirswCQ5bx7lMkkGrmzqCrTr5DkIG+AYKwWPXdaZ
6OUJavuxDT0Y/9VOUdbsPDAhxbosfuazaN1TM4g47UOji3ly7uph/pbYZlZZ6GIXc5XcW0lGbGry
RBzpZ5IMhyRCySb8Ek0ojWmOvOfBd1i/F2p5A63wWLsin8aucLcdE7cu7qPkRQQo/iuppwdkImRR
J2wpmthgR4YjB8bdeIVuEaQJwvY+gQMS+WWQgqk79kkE9Xf00q5RPG8Zx3MRt6agfPB2gRR+iuNs
3J3TBi2kQmuuVr+/K53qa8BmcqfL7p4q4sIXCdRxGPFZKj3D1rWmGIloU+baWzTVoHS6ZUmxzV7K
OLyuOtfNB5ejbOX4Avvos9beaRR3NSEQOxS9UNqVxyUS56Vs53TS8ynxxTcytkMqV/7WkW4oYig9
ubM4TT5Y3B9zKCE6yJDllXX2Abpp+9lnwbdJQeU5juhDaiHXTJa4DaaufFs35sBf5U1pGy/tA+dh
Gcih9yCBrLJ6dljz3hg8Mn4vcG8P4W5M5LFzumHr7oJNn34Ey/Y9mcScsQX3XdDGeyJ6VhAgfKkz
WJ1OTPbXjr+EN17fPTp1J8/LBDYE9BYv4sSW+WInJzNlKTKmXAG2YrqZVENTwDUcKYz6oVK4m0PC
vKNqeVWQElccxAi4y9XeiXKIUFMFCJV0k82G1bkPpDKIvuDBqqwsU2eKQIw1TbmbVugXQmpyQJ+y
TKQ6NQCsUhPIu44EV60YH9zSfSzDWuSeP51KDIArAmuXOh2FUvx2WDz12nyYT9GHETXCkjI/mVMf
RlW9eVZyc6/oh5H1d03wURNsbuh/rgm2MTs3b/r9lwNsfvWGP06X+TlMCP4dR7NGsNkxi5FsscAf
WgqMSkcrgaNdcZDcVkn82lJsBDaweYwDwXEWG2r/a0vhIYIIdfhftcRfqgn+wHxDk/QxLypEeN2P
oS3+tiIYzWxkhwDRrSsuipFihWj1w5fybzxkvNMfHORtTAl8bQRfQnxCgOWb+f2jgxxhjw5MbMzt
SPipjp8d9zYJ7+DTeeVlns6jV/z560EE/y+vuL2jH9hrf6GqBteFJmmAMUyBVyTpOgq/SwUT492s
BD1NOhzOUROW6RjtIr5KSM9LGRYahGmB1F30ecEIpmMUoINY5UBybxRYl2l1HYr2uad+kw3K/TY5
zfdkcV57izinB00mFnCoOUNx1K8tJEu/ooVqIYF1rGYH0kT7EbzfLgTiu2NDLfbluiCIiNYJrI6B
wWQRxCz9+sGZaTaY+h4V21USBgJi3XTtyBJXCYRuV0JLQ+wmJytspmi+K7fVuHRQQwjvMlVBitLk
2LumThvOrkTiYTlxnpTjsXTqP08WdExcgU+zY+FB7a01gc9KT1UdLim06HnnABTcw0G7ESa2D/FH
m6I+WhaxdS8R2hi+9TPQxdHa2AFccmY6tYjblpFrjUjIue8s0oqjtnmHtexL49LrKJpv4O+heKqP
SzPfqKQ8O25zXm304rUJEpQOFKgEoJzy669IonxrHREWc0husAecQH3lUzNc63IujFmPa1BfXCsz
GNZ5vazXM9gZQwHFatthDw7nq3FyX6TxC0IEQ0rSPoUtcpRltzbn2vSXvtFQuudzY5uTK5o4XeAG
w8RTcyoXSEjj1LgpWVuI2/GT1KtCkeuynd8N5mjMrPdt6Y93tJbrNQgH7ETUh8v4LXHmW1LR+9Eo
L0VNpQFlK5CO3als64vpnYd56neVg8siENKkNSyVTn+LK2NTL+J3PpuLxHRojhcvhyCQE+TctEH5
MQ5TFs1kP6tp55Iy1xFEf8/NhRAPtieXrpQymxHiTUHVTvfLWt1HJXYoRBUByL6Sps8WGMSPg+sE
Ga/V9z5AKLNM9sHcQ9Ir2xRplsxrpnd3Zle9iXKULag84+QIIjHKgqAuImdOvZJdqnq6ISFHJ9vt
Fzcs2hiQ5lJejaM4qHBKR6vzcHTO6H1yf3aOWCjuVspQnNbuiDwkmuYkeCZqzHw8IZls+hkVWbse
GgQVsan2u6FmQDxW59SM9nEc5ipdW32ulQCO5uacT7itS55khvpvieFvPKY3QrbYhznAvXlUKLDH
ucvCcqKHj2Xm/7qKhsNMsZz++aaX4hT7nwaZ/rEb3n76ZzHtIy6G0TfbdJsPgunXnW87OMDFEoTO
lsQbzfnrzhfif6ClIeSAgzV/IqJ+3vkCGKZIigF9ijbGKfxLOx8sxd/sE0ixecjmhNCmsAPDS/39
3pfA3hxwDmB1dgAQ5+HU6YLaNThG0yo/o19FEkFLrRTIDCeOM0S4wi4tZznyp5U3vEhsNLnnXvkk
7+XAFniDsTvdLTMV65tBRk5VOVukNX66tBPQKThryMEtOXIsJfra2JP2CAdWsXGv4W5UD1TrOVWh
3loMJ3YjeGSWP3ainZ6IZtzP2sZdHyqPgvbzOa92w9AWFjT3eFgrsJVtaOLn3pvgsaxcQ1HrEori
PhzsmpEeeyLgCdlnTTDQS9BMw6cA2d1PTjhgnQZbC35+asvb2PUYhcXH6xs7SgoMvrQdy2gdlVki
/GPP3C7rAm5uEMroznHUT/cIDVcFqGKfZDVw8YNxyjAzraSf/b5bAAXrRNh0UgZKekzrMMbu0cb3
DlxIm1nd1YdWxfZr5yM6UjECaSxbXRkqf2eSkA9lSgLTiCOdAr0PFS7IiAXfmT5pWB5e0UzlVBDu
maoHQVSVNiqsDy52SNcZhXJySJD78op1UGwfu9rejWrin4OkH++SeIx3vEW0CjFegjDzPJyTAGvN
RTj4Ni+9wya3YAB/u4yVwshj5SMqdEtrn39q2tF/XBID+TKNTINWp3fr9uAGvY7BeQwlP0pP8eXU
xTWZ36OZsvcEh8nuweuXu7auhExhjWFZdxCz7hwV5w2tx9cKjI5C7MZJsgjNyt8r10e57iGb9p9X
roPpkPb/pv+4Zm0/9/Oa5QfIsWICX7SFrXB6M7S4X6p1RFwx4QNLGdZIHJUAlONf1fp2qmiEIn2b
HwOpDsvJL9U6poJgyD6SZdtv/amQ/ws8Jn7PD7U0SAzqBzjZEu0EbAC4AL+rbLVBYhvxnvli3BPj
mIVwL8b9D1/KvynXycey92uiD58CrUUMPwMLo48Q1nbc2o/lswffjfNmHC7BnHBs1CQcMV6jCvw+
uFRQRqZcimhp7qyoI3re0mavisV+c4czKNascrvFP/nRkI2IG8gKMHPZFgCUCluDZTI2yNa1vZRg
JFvhIISWIIouHrQ7QNCpvMLK+H6pxwNk9y6tOmQlau3lIZEnQM+3Dm2+tGvz5mBYhBmGI0LzrxCK
vMzW1S0DYkb99hhXQNW9RX1XJgacXs95K0m8ryViCU7ntSlg+YOchiYzMX+K6UEGIyLm/SuL3CMg
dYgx3nCSS//eIqoKoxro5dq9lwNkANoNOhXughEXo9rBBbkGJTrntN/MytlvYBO7X5axPwXE6XKP
9MBgGepW/0ktVZv6tX5punUEjjZ/HSNyWonqd5IPN321zHki4yAPayydpVAPONUcHj0RumBrcNMx
YDR6DO7aOWGZncyrw4OdnUHvo7nDaAlff+exRGoejB8UWHHpBbmKZ0Wg/8k6bRvJDxFyqSm4epYt
3PRFPWBT8sCHwe+xLx5CgQEuZyqMcx/ODux/v32cuwTCCm0+OVKR1J+HI3YKfm71DKDMaU6jg43H
9SRJPcqumf4acLFLwKHV3exnZJFjloB1LS0GsZSSwrph3klRo3I9xXsbh1+HGsb8vCpo0OQrRVwg
x9bznXYQbxlBElDq5BH8zXdSzwi61O+1DOfMG/mh8rHDegvNBOsuAIW/eJwjQka0kwZNf2xrhKfI
pHc13eCdgE8ZupG5II6bZGFvLjCdnyZmMLWi1ccqqFThkeqBLVrmImYGbQXQAoLhAhOLsc3i+iWU
P/jBJiqjL1yS6aVxLaaTrNF3zpPPoddsQpEf7IKlgcIDSPmm71qVoWUbMqwrTwxJh56Ewwne0C1r
4zivBFJO3rJ8nniLu2eWUPhmfB9xbD81UfmIEgOqGHBognk5u0m5Tw1rn8Ya2tPibJYY0zdd7HzX
Dv2EoScQ7poqiwNvlPlSAoTAwI9IANYO1uY4+Lj7i5koWR4GfBuJTTz5GLLZppg3gbs8aZunBnnm
Y2gXfomC+VFK/+DY4b0DfFU3Qwv5dviGFI7UaEgZ7Hta75pZXxlV8xdCNCZOlG02Rs99Uiz7tVr5
dSeQHXOce2V4gmwnbyXGWnRo0iboxk68iBw5SZGNbRimFvcvC4b9IoIbMoZdFitn72CuyIBnc1Mp
z6OIXysavtcucvtY1iRoI2/XAY6cqvUK/u2bs5irWdeQgM0nZtCOY825V71XQDi9F15wnD3nHvM/
8shhz6DCP400zIXnXiUzu2BWwQV5NhQ+emdNgzDN+s1MCAFWMc+bUTcFIj9ZA0EzHhUwVRru1DCd
41gUSjZtimojRxM9pyIBHcbhhZSOc7tq9dzVSVOgW3wfdbXz5fLijO+hwZ04RfEuIBz8dtnPLVio
cq77DGyn4xTutMbPMZuWvZTKzziDfh3SQQ/nBk5GJwi0USuLeEJNlrV8Q3sbQQbUEhiotNerUBlt
QWTRoHtu5LhTen6d5/YZtvAnQFbBnWtCe8GGJ3eqlW/S946VCr4tJb1FgvGctAnLMVEFiF6DOCJY
fwrwFfpFZzuw0QgN3rCueqgZ+8J95WRzY9orZde4GDqNSSK9i7pTV596H1dxrh7rWvA8CZyTmcZX
g7DPA/IF3a50MKRnwPvDpBbsPUiQYQ0wThvloxnsrQNL6THiwZqvazIXTImwx1M+vpTJaHKi4+6A
p5nmsoUeEk3TYfL0vC99zK8KOrHuUZRV2dQOScp0U+Nhr8PD3CbeYWwmpN30Peo+cM/enk9kSoVT
fq0xNgJ0kfcI/uxVecsDQ815TIh5FQlmLBFmy/Ofb7soHn7Y2T82XRxcC+E2wnjfGH7gbzfdqDUD
zvOR5iLoXETeLaePEd51iCwwJy9//lq/rSK21wJqhebH25IiCQ60/+1roT1ftA/I+ULLomye5Qol
4r8MJfhvL7H9/w8SHLL+bTubdr4MeDDRPaXV9JkMD/8PnwOBePSPsFQxkuS3LzJWTbPwfp4vgXqU
4npxzs50/POX+ONlwVf1w0tEv30JSC6UeWSZL4Q+dHJn0SKiCunjN77+l1f6rTX7r4vywytt7+SH
b6ytprCL4NBc5AoNqAfG7Z9MdzNPxdSdbGd/agKQqfr3yZ7tjf+2yPNweCM8UbTAQRJuhPGPL4dm
crFKezOG97x6Gj1Z9Miqq7V7/fj+/lZJtqr5P/ca/+zevgn1x05j+6lfOg10Bgh3+SElKOVDD1fo
l07D+wfE+K2l+D1pRP8R43xkSBUQ/6GN/DhLB3OGPRwaAEHlp/mD8V9CBfzfz/UI0ceATcccE0w7
pOE2nPjHG0QMoW3CtQT93QaPDSwofwyvOjLeNQvcynlzqZiLgQweOfB15Xm3OVnl5mnpxZSpKweZ
xitkR0S0712CAWLVEHvpTHQEYdCDZb+Zggl+Vx+LqmixOR8TpnxAte2D2jw22wuaemK5cSQK767n
GMa3eXLOEiIjtfl07eQ7mHM4y7MLEw/nw4c3yFv113yLgIjIl0B1RhDVm/03bmjr5ghGFQa6WdU/
Vj0FQrTZhq4ajxI+Ykk1w7QvD5s76d4x7eMZkxKctPXDg4AL6Wx2ZCnHG7sZlDZkX8Bs8FSGZs0U
XMxeHbl37W3OZvWmgkwnDHI8BgbOEyQg6EDQ+DEPDVDwgvCaHYdigGM6W9RHiwaYDC/V0wBsExcf
SE3lcYTfisUTKkZfOPbawIpdCP0cwpoVm0ebrJg3lsC2VUxhHBZ8XDLBFxCLd9tEYOSZawow/rgk
QTyCgGTjMd48Ycw/uIfETO4S2MULbOOxp4g/b05y7VUeqhO4y2M8wWeOlCkQStNFu7nQZTN7qYKO
78OgXk1NgO5XOac9+IQRIMDmZssAA1voCOYsSjBJI0J8umCb/820i5IAljhzBE9FPeyly0/IBDyS
xL55m5MOWT7Vri74VCW58CsUxJigkA4w32d38rMIdnzg4bNYGPRJ0PGsKb3evQxE9w+0BJlB1VZJ
iFtLFHZxoPb+5GxF3VsiapEqODsovb1XdLE3agP1HUzky+s5eAd28T7F67obN6xfjrQ8YCjDlw6P
KMZW+lXWAEzb1cgDhD4brzrqnibOPw1IDNgtOhCKai+QJZDrOqQjQpU7vQUNRAPCVo3jWXOLx2d6
rFj5RVZoOvsAtCx3uofSBlW6+OZFIsnQSI0MELINAL/aVKxRt6MovSMWPqnKreBbIRLRIBuB3zlf
yymckIoXotAsUtnHBIRJYZSFl2wXb4HX7kZllINDfRkFB4VjjUnHse9Po28WUOAYjFettYT21WLo
5TKKV+ZusQ74FRcehRhgiMzHsoU/qOme6UajMtSvy8anjr4Azr8xq+VGr44bxyo2onXc2FbxQbn6
5uhu3Kuk1TH+IGE3JlZudCyWRY1+erxgjqBNBRBaouWBA6nlAqIX3yjboXU8PGkgbzEgAQzuRuMm
wHI18ZBdxD8wjO7CWZKKcXryAPKGypwEwN6EqIdpI33t2O0rB6mtHiom8lveeQIWXKOETAEyXTpi
7ho2P9MNIAZIPJbI4TcbW9wBMsYQmxMBdLyO46Om6EDkxiNjfmaQJkCUG6DK8cYsdyuIH18tNyVK
6gbOX7HMXhH7w8nfiOcV6DMBAl0DhcakIJQpw0WiV88oYOmyhOUGBPq1rTCbkkhKC0xx+DxujHW5
0dbaHx5FRa4WZxDF1OKuwSSrtXkODA8PNYl6gFobEVAJzGDZGIG/t/APudD9U7nwn+1Q9+//Zgv/
QSxEggun9AQ4RxNO/UYF/7CFf+zuIf6Qj6l3qOd/tvYpjtzFHxdCImLVv8H96D8QP9j8DYjACVji
vzYP7w9To1A/+Jh8FmwqHkI9W4L8xz2cqXjmPKDtrePJT6yGt2BN+8Vbw2MLAivlkQXJZooYtoY7
xTsbsOtkleeZdrBI5w5QTQ0RzjAnU7Hxdyx0d64IHuZ68gsaY8ruxNZrV5fopLce39PPNcWAzdZr
r6sQnfzkqEPbjG9dBNUJhsg3GNto5R2YCSxcrhY6fWuMh8cArkaOOrWI1gnxmrW3hYv2L1dduOSY
oKCz2CQmI6sbZVr0664X68VfwzD3WXtllhAeONOvAeZh5Rht8U240Qmj0oYcGh4iJ9PYwH4P0rDC
+LA+Ti6QPV6m0mIuLcXw0aqCn9nGcD94xOvMssEHeMZKsGTHgOndGosylRguAfFrebYVu9FxfzWU
w1WFz4Q1ukZK2veRsGigxrCuaHr/pvT8xxJmJchj02EnhMuqxwm5gAa8JSHBoQvWOoOL/0JDNM6R
uzKDJOska/agfT58xkSX53XLX2kEsZAIHvftls3iUn1eGMZ2ILTVbektYkI0pDMobLNluyqEvCqE
vQKJxcTUUEwjEhVNY2zuh5YVdkuJMZWgHxfmPkCALGyRNcP0mMzDTJgrEb3p5Q2Dc3YE8bNxDcTe
KAwJNqij1DB34jnxqv6hdduhea+Z/YYw8r0NsGfHH0RdoypK3zDn9Vzi/j66uncP6DbFra/K5JZ0
5XhakzIjCVjqOY4OWgH6ciu3ziqSrOeAW6gVtejmPeZuvcz9nMc15JhgEe+YxeEfXMESiSHXtPpX
R/R3q+KiL/7PrQpoSP0xUB8n1v2b1Q4/+0vD4mFaJ06dAsEM5QDuww+rnf8PRB/Cn1uPjXH6dbXz
MKYc4A+WIgwIjdFo/mznxji38H/YO5PduLEta79Koea8YHPYDaoGJKOXIkKN1U0IS5bZ9z2f/v8o
X2fKSqeNBGrwDy4SCWTCligFyXP22Xutb4F4QL/w7TRj/5MTC9DBH460CIwYyXBm4XsifMS/wc/3
frWzM3O2cwqiU9pH2MDcuiqwCo2K2OcAyJmWGBlz24DifpQurBwpSaxnPQ1JwwtzSXboat+OQXtI
rPGml8eLyae4L0PDdkC4wOKJZhBn7d2QTUcz03Z6hDeVd8eplhd0HPGo0vQeWTWjGS1ORktr8KlM
fNMeN4ifv2pIH9zhTaIfJXhgI3AH+EgrZ7bEuotjyxUp7R67CR8ng32/ScW0ggyceXJd3gqDyk10
Ev0/3lWtnGV3GlpaUVXv1rl/Tz/La1WDk0jTMEIYnplHOrFfZZ6umC9UG5jtjOjBqEZ8Vqax02ib
dxXgaqBhD0YgNpYJZ8EftHVo1fTPm2yrGr3u9YUFUQFbyST6GtbW+DwV/nPWjijGwoq+YPsYYT11
M5Fs6MfswGXna2Ucaq/uQQ2DkfgSyAIQs5I/lAVWeRRVmud37avhq/OxSabPUan7BwjOUAuhFTiA
qFdSbinXamPWnoB550Y6VVnRjPZmGJKDolc9QkYm9BCP63YNe9GdhRkhwTQLvPMarVAQeCsrRE8Z
2DNLo5o3l5NsjV4CrnRtcfjw/FSa3NYwbcrzJFxJEVy+SY78VS430QEtb7qx7KG9UfV+vuPgidVP
hmWVNKl8SVnOdjkkyWNRUyKClzYeUP5m102tVOfQUKOdpdTjRWX7CJamtGAghvrTkYSIL/whLxfU
GlKlek4x0mWy/zxakWR5IA+rXa7KVwmKrVUYDuUneeKD3/gAZp8k8BJfhYUGOFtsKEM7dasEZ8qU
cdJtFrNKv9hWmhqIGT6Wdpr51IdVhb+lwecCb852pao71osFxl/MMMgVqD0Xg4y5WGUEnhnRYp6p
UE/Fb3YafDUw+gInWaw2+WK6MRb7zSwShZ458wdzMecUbz4dVGvmN+OOkVwWi5kHIHx/Z0P62xkF
cIRwMf1IFvafBh/QuBiCAMF542IR+k/R+q1opVn7q8Wcjfhnyzhf9W4ZR1wj0/uFTfwNIPBH34mg
IjqR9J9p+LyZ1f5Yxm1m38jtLBZYkEA/LOPUs5SYeONgbX0T7PyDCTea078s4+hLrGXAzo9gUcL+
uIyPLJoA6HxxSubSnHZMrzLtGUVj65+Am2lZRliFpG4tf+GMd+HNJAKBEVSUOBk6VnEfsg/952TV
2a3wmCHJW3lI4M6PGukSffFZmebAZbn5PFfN6GUaMOK6MZDtBbDl/PgcVxC9Ap9Ob9YIp7egilnT
jPPUJhWDetUHvJmwb0hZvwrrNvVCg/lXzngB0+19rxhXkZZvjDSrccN7eT8zeab07uUMZWFcXM0c
Nwuj2DUMuJwoLQAmthJZEnDOoOHPn+24vjIMTPIdohrOmepZldv0shNzsQYlmHuqnxZQPKuvmh98
7mLK40wyV+30Ooyq7k16teolLfDSLL8cVXFf5gEdCQwuaDFht2L2Kd2kxNGsFdSis2XXrtKPB22O
4pVaz6+d5a+7oj8o9rBRTBxzZbFptGZVM7IjnaCH18novO611xZXN4SXmY6VQ9LIRQ66fdZBkMJY
wNRmgh4B724tnPc0LbcZFOixiG9TQPD4/K8Q0B5CAPGwyyDg6dlVzy3tFoa8PEZ1vmlRB60to9wr
evacNyHdKdO/kHv7Ah5lzm7p58aec1l9pYzkVzzFdRqoq0YrgvxKmtup3GQKzPhATuQHTHpQYow+
eVF1jbADBJ6R2r2w2a5RLQfuYPHHUTe8Inds3JitBpbCuG2n8Chy31phZprWVRt+HSQDEag1PRqy
fdvO45XSK09Qi5GPzo8RxBrX0BttZQbiS6SO+0EOpqc0rBJgMiWcYHz6Vg+jVsdmHuv1FbC+rVlb
0gX03Nsp4tdCU0DfMrBO/thg2QxnWge614UtgQCJYa9aY5K3s/lViQsBerK961u4g1kpVC+Fg5kE
trbRpQisLYDgUtE5RfVAdYrwJUiq2U27aV5bA81UYBMbVWoeo6HYFrw2bm7lI3LpxerezHSUODsp
MPbGQfj01aTz5EsPdStT6GgKuQHxJ90PAyiiqklHkX4OWGKoedvUTEw6dcU+h4aFhANdcGXpqIqT
r03YnspMfO4bAitSeknJFB/psB3KRWeNw+jABNR0VI0Re8yWX4dR6CBkGzbVCGyvRRflqDZBfon1
ODNyhTu2k5vgUUPRdjNLAECkEMEbDdtPphTejLSHZXt4qEIR7crQ3s1jdfADqzz4RfNgkI0BwvtG
MgyG/9ZJspurUDZeSzEfs6zeJgXP5mywi5YK2B14xtd9T7YECMigizZ1HNqrZLRzBBSj8dT0Dcqw
uLv2rR5yUJ6uyW85GG2TrP6ztb1tbfovzymPRfoTo8XyNe82NswGNluHzWxLLLqldxsb3USOH6hG
GZDgwv5jY1t2L0wJiEAtcmaoI/88n9CNQSFqWEiuMEkwEPlH5xPrx5Hbcj4ByyNA9qJuZcZrf9jY
2nqI81SNx1PZkoxRWq1n+vUttOzQjdWp9WYlL24jqHknFQLzTdP59VaSlW7bzb7C6Xykli381qmE
dtQ4iuEby4BZmvGrhhDVbVXZOIRV/wzXmIbhBAwjqdLxbAdB6WZZbrp25xe3gqySWu5MBz6s16NA
PLHvgTsB6XoN2AQ+gq4C++6JB2oU5RMU4nSbplq3iVlX4NXttMlCjdPV6xFILtVgGZ1S4otcnC9P
kmwMW3uw7vJZjT5VAgpbqE75up1p30hJPrpgLEDZKmwxo9za2woL2ikY2OdakMbboTRtrG6avS1z
WsBBYD4USDFRJ5FXswSUdBUpQ7b0OOhE2rR0oGyOFK4esvx2Al9dIK/UoN9DyDxwcLnj07xkAsOE
py2WiRCtmDwJn/RefB4NGqkMCO6DKrmv9TxdlWGAhSKIblrcbBztJM53ucJSFgTbZO6rrWRkr1qA
Cmhk3zEwKDjtnHNg0+N43cLuWof+QJyWPj9yo1ExGOUNYoKjSKdna462mo9HTpTaF39qzlKT9xcU
7zXzq1mmRreOGhhZZ/bno15wS1tINrDlzgnVDxw+iHbJC/jT2ilC/GHpeDLIt3DMUmnh0aDSw3u7
Qwems8CPjTcENslFVuuqmdgajXFRjJm1KkzNd3QlfCyD+UoIcYgroDnSCGIZ/jXnXL8gnssifeek
TXKsPYPI1aeduSxiZhgcJF/MFBBKTXGhM2gJTf1VapiKdBbqL2mCzISu2bdj/VLuU+YjdMZMnVEe
uqMLYAv45npcnb6sIIzWLaBLerKyKkB5jTSr17XONKO3arb2IHmp1FKgCIymVZRx0Clie01sR4y+
aeZDjhp/J02QgQNMse7AC+7KPKlaUF6neT7yZEM2tuxlGJTJt3noN7A98BwRooPAGro9AW4ZldTA
yVGGSTL5r9OkbjmE6YSR6bd166Nczuk8JpprmvaRYi3dDUI3nGygzAQJsgNWL04mIhsHx1EL1Coy
1mMtbnpwuK7f6hcQ3GC25ZPtypK+r9Mu2itTcahEquyqIuIutTbxOA8NyHNpCNbDTLklgFG1FVAQ
185q3EIJHcwJSVyVPoepztm15FXnNSlLc+SDzZ7KsNmPJrq8RMKVmkaKcuLguJyxpfA6jqpgnwsU
fpR1x77iSB7bxkqdoMmmOdRBDRSc45fj1QRXfbE6JdCwZ4sjs+pvZUyJK6spxGYKfJswhqqB5pQf
glA2wdZ22r4xgnlfxWAjRFHJq6IqyVmx6/WcTHucMg80e7WzGmOeZvVLdlIkbOLYyr2kLd5M4NhG
XD5WZhx8pTb17JDX+MqM49c5nlsOnLbW1s5/9s9v++cvj4b/joz8a4tPf3c2VCwyp2nWaRzBGPwv
8oLvW+gy6+DcqGg6ddw3G+P3Fp8Af0KRt5zXBGwSm8bb9xafhihBqMYSfoxl8R8G/LC3v9OssIES
scu6zpHQVPSFuPLhZCgjxa/rvDvOU+Iu7ZRgOUBZ2bcH5G+lMeiH/nohXbXoaGpMdlS6Uz9eSIGf
XRmxKI+o4+xPSVhJhpuZKacbBjp67Wpt3old0/jzTayCTVcMRdzHlhk8lkVs7etgsg+KibCgNGt9
PIeTdq1NRU9WwxSYzaFP4kZ76sfKsM6DX/X9OlYK4SE+i1jdpPSERhJbZFSWCDeLIe1615ICPCEs
evkDvUN7pVtzLTPreNFTMRxNUaYn0cll6iplkk7rwicfbmEISCn2apSaQ6Gd5F7Rk4s+jU91m9Cg
hM9CCMKZquhVb8ovOXADvwGUxk5HgBJnCKPYqDK/hVRGKxu3lp2t9DHb+dNUeRqhdx7dLg8F5tfQ
YgZQiqOill87rb9JFaYgyEzjRxPlCAPbpLtExlAfq0Y39mlkX5Z2hnFlJjYylyTtqyBqZAuiGjdN
W5WrrGcbiVJJX6mDdam19rHJYXLOqtV7QTSTT5ibnyZFekjVEKluHOoEOrYB55AOwyWPhZ+tYBFw
bhfLt2jVtYIe4hPCYMw3hpWH103QSySVKfXKHuXxQaQRTV0AF63TJCiThVRPdIfn68poMUVKivIb
uZ/KS/bxWUb6Q6ODitPUeKx/fMSqqa6CgG3j2Kyyz0PtKDeYLB3Jqdx2mwPRddghV9nGXNWr3NH3
sNxWUEPd5DfP+ocRIdYsqEVYgG1Dp3aG8fhB5qOPOAODhvQgXw32UxqObhJgTi8HoUKCS+xV1fuL
GdMASuVb8mVg1v5e4R4ZSZVRfDJp92Ugw+r81IIoXzcq/LW2LdHSzE8mGBt60BIa+nm8r9KSo12N
099sYs2j0aPijYwz5nIjVDN6u9AtYn+GtWD5DP3t7cxxb1LVjRC64uDEWswygp5Cvo1HAQJIUA3J
5Wqgwan6SegkeaR4FKSM72I0Aj2jzJGqtQqA+jVa8CngpKto2WU3WkA+rJJIAx40067ov8vxb9SJ
Py4ifLI2JYSMSw0nBe0x+8MiYs/qYJeZD62vz+INCwHq/1qG3xGFK71AOiOqgFbeH82+8zf53ntc
t8oR591T9ddrfrib0tibdZ8EzZGojEcdqObYBYU3N+ZWZB3OSJ9+uFGXjolJVE+hGcNMmS5mQkcd
S9Ivish6kGkskXgiffUTsS6r6lItjCvZn1/0oHrKhqjyKsxuh//syd/atdyBP+7gXyDx3mv6X0cm
FK9/3ZUh/fx5sNX+xYzGxq/4by7Zn7uySmw1vX6aud8FA98PtkLFeCTTzWXzFSg9F2Pmv3dl7EoE
f1C0kmysMbT7Z1Cyj7uyQFxA7rEg4M/WxDc70Tvhaut3EAvnXD3npE/KSXRhBomr9dPq3Sfzs2f7
rfH7QbJqLxNGsAckqukf4UVkLSW6FSbDWYdUvGuJ9hArfe72GUx5sCxBwhnIJGKyLU721F1USfnJ
VIl2KlF0uQOJRaukVpJDX+u2x8iD2LGpjRzMj4vYoX4YmpJzshXSuFxShMMmvSm5oKuW6bmQI9o8
kMwdq1IrzyKhw9UIwHWy2TpUnMIxSiG/gpzo2bqx1XCfrH2jX6tCb70OuYHXJCPVgLiXLPMSHTke
d0V7CEVauGCDbsCWXEvZeJQk/dhGcg9SByAASX07sjuOg5+xF9jKJ1pXqSMHfe+pS2Os69srIkDW
g+jubat+VQPzKcimx3qB9ySdSdd1is6ALA+GmYESNPWtYfucKYCJulpdfyqMYBstCM80DA+kVj/n
Q5is+0wuOdcjT0iLsfQklhAnBZ+yVtr5SclAWs8iPgmLOdqCOJA4alRG8sRu+qlugktOmp1TKNO1
WXUbhr9beD0SecvkMg1Cg6pOtBriZv1GmqhXsrayXNN+slu4OezOXcVQselE4vBoexZjB+5fvIGY
89WCYO8ALL+U+o62X07cM0Y0V2EPUsHHjxPd+gHm9TpR0jNZLPFa04bNnInLIPADp1XExu75bMOB
rUIy9N4rK/uJifEWNdV1kc+Tp83NXWSg5gvI5XC0Nr1phm5H2dQTLSC/yGR5O8Ew3aVRpJOaNZ9U
WgHEBsc9ESL1FyVVv6hDSlN8VLZFau/Q6yp0yIcNudhXGSFro1kYF6Y2566R5i9zXD6EZhO6QJRv
6U3HnqjMZDt02saE3KriESX2loQQHjEkgmIIV8oYVp/zuAg4YllSO7m6MVI9yNDFAVWoWIm3pMzk
nmwOa8Ua4PpV9bhPUx192qSAYYYFILQvg2zvIh2i8wy8iBzHsr9LdG1J4h0UeXb0aGk5j0rkJbG6
06DvKIRatwuayao+M2G5VhLplSZc4lR0TQuexttJBbQcNC16xMErhkTZSZlOivTQX1g1A4vF46FH
8Af6po8W4N/waMRmsxqD8jKIZN9typGpzhLJ01yUMVqattkOQ/tA4hyGfjt2+1gmuai4TAxeWS1P
zvR5D6kk7eY0FIyNw3A1jxPx5j2k9QH3djyAbB875TpsDSxF7WvC7IU9kSRio3wY6hWi4V0oasKS
pO1kmJ/HWH6adU4XFPsNrIGnlNP8gLm66/YlAIlUovePDU+lFeGFtoDrQDLeoIltj+mrVkJmCHPZ
bzQzbteygm0y6MVTLuhVgVv1fKmu0eqUm07JT1MxPMKUJ/NoEndtK1uXpUQm2+0yzQ4sUftbiCXY
tX6zjP6o6+alIdAeGg1cbziVnPI+HKKapgG8MBnTeaAOc8TG3483xeUuBpn8Ob8vV8kOka7jH5gP
dF680Xa/vv5Sgfy4iHN5G2c/XURVBwvzY91b+53eS0Y3n3vzc+nvbBlW//gkFb87xP3sOqr8DZQD
ZeDtiPduV7Jb9qyIaKSzEl0QS+qAULaD3dA1vyugf/L78HmyByogTRAS//j7VJWgJ6qE8tnQD7WB
UAsD4O/8OuJn9+z9L/PhIl0oy42KhOvcr5s7lMirfit/sQB6OMUlRP/Aua5XaNDW6vbTkQ6Qc+wv
o/Vds/JXV/F+cLZoMS5aj7/oFWv+Xd39+p6qH0rdt2dKgCM1NV1jPvx2yHj3YafEOzJok5Wz7gRH
/0peyZfKfbAnERGCljc5+0dlM7rHaj1sdd3NDower0hFXyO7c99+lP+IuDQe8L8vJBcU1br+nL9E
zctPpiTLF/8xJVH/hXTLhGOrk3v6Y+CQ9i9eGCYTxkKhfOv+fG/xQLhV34qvP7/qe4vH/BcDDZzt
DP/f0Jb/CMrxl2MxlxcYX/iHb4pn/sfXSU8paWO/nk9ze19xCuyYArz7YH5SRy7f4YcFiO+K+n7h
5yJbkMXyE7x7VufSN8qRAeapGfGOyATyQVHTv+Aa/PV1fvxNWGc/XGcpm99dp5CUkiaurpx0iD1K
DWnyy68voP5YeP/1Cstb+e4KgQJNsWMiShFCdJz4ZNpfCyRNtnSyOxLhVNlt+seS8VF0blGwKtEr
wJAgOKvFFW6JYCihmxwM8gIsP4etedXFNwO+y5E5zK9/0gWa8MvP/MP6pUWQd4d6+Sy0FSgRpyrv
O+DvhSJOg09fAXV+NH01JUwy/KdlRN9Whb/t6L2twh9vukKvBQQD3TzYaT9+VDkmvraXzekEKyBi
lmbX6UWCsrt1J7zx9OjfKL1Qfvc1e4XeDddKirZ2ADDo9gvTt17ovmrZyT22Dnk/2G1Xb9LsQc20
PXRytLaETimfRiwpGy2xY4tmSUu2S7yqDfCL4B7VnvDDdqKqmTbhfEKLt8oQrhSV5HQG6XWjfc7U
sz/Ha7/DhYB5p7ltgqX7lTp1Ynh9zg+An4VYTtckAWuKSy/Rb0k8rzxDw9FUoc6jwuuU7sKUab+V
26l6aGivTJIGKiwn2FJcxfFlPGabnlyKTxkdiRJF16pAyCAWxhTNmh6lth4FwhNRZXmylYlVkaSP
rcR6nc01wy4fEQyEr18/ItqPW9zbcPT9i/+x5TpENi6QsZlP8kbb+rv5or3XNtauPjWOctFuK7de
WZ7tTmvN3dd7EP/e+CjtknW7kTcGu138Ldzu7x+Z3zyyS6fl3cslUmKysuWRLZJdgXlkQCPkVOtK
/s1ytDz6H5/M98vRhwUPrC3Fa8h1oC2kt+OXKnAjlO4MVv3fvAQL1eQvl3r/EnxoOeKxT2vNjtRT
CPnrnHDWGt2aRN0GZI4bnBhd/vqe/mwFRCeMwXRBlugfG2CZkY0ASzWVdjZt3vkZI9avL/CzBfD9
BT58dnK+kIYCVT01vdfpCYosmCO/7ZD+7FN791t8WGXt0TZmwLIqYWoYvUiFuUWJ+evf42db0vvf
48PyOLFX11gd1JPKuz2iHZaNazs+2uH47Y78X1dHf5vYuFzofRTkvy+89LX+9y3dEe/x8j+rvI3a
6ap7rafr1wZQ83dB4D/5w/96ffsut1P5+j///flLFuVo2to6emnZXr792Z/AzWXL+fvyaEcQ8M+/
5ntVpOj/MtCGUOIwKaYq4C7/MfjCc2vLNNAsWTMVuiB/akdMsD/IJDGW4udBeMIffa+KdJSU+E3/
7e1dcN/fP4Pzt9f/W7Dmz83aivHju0sTD0C4tvwMjC00quwPT6EWpqUS9GZ7zBIjXBdFGnljkQFH
ueLYvXCuom/UKxH2MgyspE+Gla60qkKmBAKMAe9MRMZXtZAKT2T56AD7SSbVa+w2o1F18CIIjEXu
B65EwZ+SRmihJD/uVY/o7CIn1c3oxBmMp13nnimXPX40XR8aFB1SFTefzRmGNLnMhN00sjuOdc/s
XenDehM3pX1JoHe4C8YawOMwiE8VQ2xAV4TXdAX50CIhtliphv6A63Faq1aUH8006a6Rnw3Pcq7r
5a6Pw+C5F/W4Ths5u8CMWazoSvnHWNLFmviccIslgNOQNWjTlWKq2Ge7YrgkgnE4KnHferVffi0G
q1nMlmr92YrwIqWtIMY29HWiZ/S4vVVJgnP5BPUXa07tTR+mA0gbGoQknWxSSWjX1izj7tOI8007
mSmEpZBSqbetRH6SPB1rkqXWCS1R/DNKie6yIVLJQWf0zG1iH/NlVG8K2DnPtkP1SZvL+RzOxF06
idqpzwkyg0NXNcFuYkj4oCElBPmr0lwtIXHMROqdui554SPNd5VtKDdKE8mpG1PyXiIcsB0dM/Vx
QmnpBZMeHfWoaTa2ndareLat41yBvsiqHHHKhDw11ILpRRhjekHESnPXZUUHSznOkWdH6qWmKens
GCECDyw7aAEZWF5BuJHWUaU3Zy3SSq/t5OKA8Kg/NE2y96dspkMkWetKn8avgyAb0iqzYD8y7+Bn
i02JOEtDpmXb0PksJoJ527YzMM1a+aYMOmUjyK5yRr0GSTCrtr9Pa8m4g9NzT3aXeqEytDnx4/tr
KaGvB9NVrAH0yadpDulyIWvcBVHerwoSoeDHlNN1WFsDUO4leDnqRnRNs09KQtME3tuC8n+9tG5e
iyMxJM3HLNz/f1fWJfH171fWdf3a5D9ZW5ev+mNtRUdncEDk0IVI/Ie1lbwEtHpQEFjg+BsL5fjP
Eyf/j6YcwQETirfD6J9rK7MQuCW6qYIygS/5T9ZW86+CcxsVEwNQYjQpUvS3CNx3pV7CimePrW8e
Edzug7bq88t2UCfDjbO+LAmQj7p5Yw1N42ZhFox3BSqVySvsvAzJ2gofR625ycJq8sImBzradhsc
Fx6tRpqvcq5ik0gNcEDxMwCoiL6lHq3AFxJ7TTi1YhstrWDpsRiy6zxL7oeuUJKr1izDmySJ0NKN
OBb9zk2JRwrkSDomfm4Bp+2rVZ1JweNUtuHZ98PIOIfpZJ71nAXOFYiyNcdgZy483c/k/NYwJSLv
CX8aVs2o+C1wwSaM7jrSzXq8/cN9otqhxpii2JJKGU9bVa4vh1jsh06/1gMxeb6Z38lzetuJSEOE
Vr6wTONsDDvMQGTL1G28QlDxHC655bUkjkan3hvjeNeBQ3I1nPFSL3lSRq5SsEQRiLJUPGuCJ9Dk
plgB3rqHfG/RCk+Aw+s3iTWc4rhEzy5FX+hN3GadeJVFHK2ajA9Ft9orU1u0UUQBbAe+v6MGZfI0
LStzMkRbeaYNXS3ThCy1bqtUUddFnuR4WKCDjbG6DVnW876vPYaaYM8A/uhZSCQAGEr8+wmhpHGV
rnCm7rVSvfKJaXVnLUSTJNRtkXDSUq1kYB0d1d2EssKROvmLXNie1TWZC/3SR47YbLLc/hyExYHS
49BoSO0jS8JdNds3pp9C4CImfvSlL7o9r1N53OEqPQa1QUCrX3tlPRvbLF8sPWxdbUHz2YgGlFxS
9jKENiK3KX/gkW7RRPcm2x95ijxeV+QMtE5rFcdWjyXwWP45tZkUBbj1g1C59kuJthwxZY481rob
633j8ryR3ls8dGCcoGS3+5Y72DbdmnNvtBl10j0MuSpWIIZ3WT+dxkq/V5r2aLfRbdyS4BzJzV0W
hNehCCOvlLuNEhgSOb+t5lAEXE+mfysP8tVcwdQaFOxXkzIEjh1Fk6fU/rnz5+2U+myio/RSV1Lo
yaJMNpPOxHpW7NQdOixogd5gU5OBcYtp3heleYqXeqGw4MGVXa65WQ9qGdnpBaLAL6QD7VEmYiNu
oktkZpyPZfNAno6ykW12ngm/h8IL4AE4/lzL5cA2157sWjz0Uii7vOq9E08ZJJ5O+4oEcXaSsrju
ZvR3nYnPgY6AaY6zI3IQpm3Sf1KHOd9KgqfTDxCtNmn0mk7qTOKY+aAP+o3KmGbXFyCo0lrd4bLR
PHiwF2FP48PA+O/KmRDroYpPUWDgqU6us7Q/EqctMdcyYafECVpI+6wGebU2UizBQzkwfKvHyaly
43ZQ8ALKtfzVV8WTrKUvsqbvqkEjPC1oCWmU1FfRSHegrG0EwdldhjJmpdoEOU2tQmRw9lhM4qBL
xQS8GR8ASU6mGI0rLbZKk+IcmNcUVs+QomFz6LhwFzRJp1eXhjS2qzkhsrKfn2tNfawsW9vaMlrL
0jbPc9fnntWGRGbUBqGHmCAccqNeoBs0hHO3N2Hegi0s5XQ7yQWMSDOJWWu1p9IQNwDZyV4i1H4N
dZVTOJRVLy7LHNiFfOzxHK8YXL3282R7uU5cX6z2Xu8X5jZJcthqkgDa11W4OWRiMAcxvDA9zFyl
wYIt+4N+jEY9Qu9QjUx11dDT1Op6yEmFmyyyW5S5XyURclINzF0bQCCL9BgMWRyWQPeG3ZT5T1k+
4iICar7CbxU4o8bTWtbxi2HmRFv68bzSc38dCG3aGnld7YpSrBOCXrzQNNK1ZdEPYz2cN3lcPdXg
5HKId8HgbwpyEKnBIwO0CIXd1HBAZ0pqr0cpx8kCm+eK3OBybVaISQPtAocn6TRZbG2aihyRATW6
65PzvA+77ksCamUdAn7cq4SeuwCBsQ6OQb4Nc5jo85Bxb4ZJWuvk8DgSiYlOAO6burbfaWhYHPoK
WEf0/hCk9t6354MUzRm1L6GRfkJ2TOZ7QWhCczONC5jBDPE6Um8IVTyXXXibq8xWAcila3AukdOF
Uu3GWvtiVPhvM5LYNqPFjH5SMMiiJBodJQ3PbUTV68+ylxRRvynL+YAF7AJIjYeN5dxj2lxpcSUv
Gl4IjGZ9RIf9YhFUlDY+pkbTJvvTkHQIPzpEEGtaYWNksgZh0JHl4Q63++cikc5pHd0kEGlcmTJ2
FdeK4dSifE1x2ASZTHmpCfxhkeBbRmruDan8WEbw/PsuOvp2R4iOIvfeUNW+W/jJIbfwm8VjHNxV
YQpYxn801BYBNK+umWZf66x91DUJyVN7LN8Gvm32wunDXik201dUcXcgx5AzRIxzVUm6muVS9iDW
XSqYZAHRJIe0phIR7Km61LOAKcrraDVbs/MvLOrvjRxNe4xRtlclkhPr+X021ccxV4kmmrIMAo4A
51zvq0Y56JDqpdL6Oozwog16i3klbf0mfkXfsObw1G4as1w1JX86FNKdHMsXc3DIYgIgO5NMmWRh
rj+HDYtvj386rs1dFyFT1FsrcBuj3s/NQBxmwu3JiD+NydMdZ57nCDTfWlXFqwZNwkHpcRPFAX+Z
BbxHKB7VyxEUo79LWla0oXJ7ogLbRSNJdVQ6jtYa+1kHx9xhPTAqWq32cK9ofPNyLPBcx4eEKOCN
lrUvgvSpwPQxVZHvIpsZGTf5naKx4dl5sNFDBVuzpR0Znn+qB+jyZQOIQCqrcxnZFwTWIRQxqutO
wi1mxjqUWZFtumIk7FONV4YykCgBSpuIlyxYRz6vTj6jYdBqcl77il/N4iwSUnc6VhrhadaW6qHe
mVq4H6b4a6jo0ToYrNOkxJti3jQ2WChrU0+5p4wXlpTchmmPqkUIzqSWvoF3DwrKpJDR5mfNGtbG
EDzTLb/gDIvDy5dDblb1GVoRbFJ1iHU24r4+8PrcBhNQI0Ix7xQ0eKT3OFZDQxW5fLpVi3TXt4nn
W1p5lRt1BjMoJz9+FdFJl+7Dvig40GOgrvfIGoaMMOGht/o1UHJpupq4O7msR5In/h9757EcN5Z2
21f5XwAV8GZ4M4F0TEMjiqImCFIiYQ68P3j6u0CVqiiV+UODO7gRNanuajZdMnHOZ/ZeO2RBHs3O
mPiuJw7liNRiQs26IshzO3uA/BtaR8Vhbl0IZdwkZumbuej9cCg/ha42B4U7ID2TkRZgk7k3muJu
pDndsLB+rdPmwUwYWuQUXkqYdBvP8vaxYz6hYr2eEg9/mYMrMU66fE3d1a6FMHGnjyQEKKTNcp1A
ChUqF1vLlcbfb/nbUZv3HgZBLz7WDSiPjJyPqXPOQ5ewQ3GOC2lgVbTpk+ZJv/XMozZLqpuyeuZu
kVgzs7UoXGCsiXmgE36Zw6HYzincdknegDn01+SgEZkY48SjlSDcIh4Z7BZfmzHfGQRnrC1cg5sa
f4ZZZ7e6GALA4cPaystxx7l79NDhOhLaJVa6dtcPPNGpzjeEurUWZtauWg1lSguCdq7SbYUaFl2R
+CzqZG3GF1FBALDkapyMPXYNmEXucMZ4UpP73F1yK/1ayYatsEbwm0zOZaSeLcAf2ALOpn6xyT9W
5tpvGiU6DGr5IMZo38XJY+d095VXooTAuOI228l27hB+rKl7z7LWPycV8YetwsmYR3tYoPM+7bPP
/ID38ZKX6lALBnFX4bHPlc9mXg4P+TxEbELSqykWZMwNaYmnfYZ9KAnesrVP1aAizRA3mJSeROWC
sUK6mEvvMbPKY2LED/kYJ/9vZqX/Hzb0NNn/3NBvs5ei+OusdOGRfu/nde03NmnYwd8CTX8wCeg6
bCNyU/HgWZiNFs3h937eI9YByf4fwfXvZqUeckSdcFT+gYjil2elfKV3ew5WSQQN4bRbZqWMZJcv
98PqppCto0+96130nPwPju25gr+xmIINpYj1wIrzNvxMVFhzA78DK1e+uIlnbMV26h2bwiPaJxfP
gvRmSbEw6F20kaZZcj0YGUa3xpj3xWTUQT94N7SprxkG5jUmXq5Dfas4OuqxhF6l3qpRtXUL7pdK
2SlJ9mw1yPKdtDxG6Xgj9EXi1zU+/d6OcKadSru7MppxnXilQsiw3CK7POtUQIkOF2SMrQyZstxJ
DRBHoWjPaa6tJhBw+8Z1PlWms5+b8Qvn4QlLd2YFIb/bowe1rwPuvIJky7je9QWR8liAOslpWNaX
mcRpVE/FWh+0Xd2VmBNoS8cO6LQwlAYPvFMQ3OLy28JI8dtyfmBicHJnbUE5tzq7SbMJdEYCsalv
U6OPNo0AL45HjBylUXtyBfIqQLs+CHbqyLJ/zKfwM7gTqv7yMklwP0oeWpu8hRxVqMV+hKZBY8hU
VUNA5qvjwuTN3XJbLeAQet98bXseCjF5k1ti3xLKuMJ4+1Xmg7tS0ctxz4Qk1iO6Yrz5xI4cAJ+m
vXa6ctCGfg8245hir6JsoDAbiHNjytKPxxJoEZATuvPJ7o6zyF5ypRg/8fe86qzPc26fTAbGhMuB
TE0PYPXuRlaW6wa2QOujs6rjo6IXPddYIiIg61lWxkTAdcKrz1NkOfusdU1O/CHeJq6L6g7fpXfS
8SkfcEkMW2iH5Z7XpVIDUwWOCMnJuwsJgcUiJrWJXPmSccBgSXNbNZaZ+Rj9oi1+MgyJDiEkR4ed
5YNb2i7Abhzv/803abBRwP3rcXh6ArL/1+Nw+aQ/jkNyoU1nOXOYVzKp5EPfV0eESbztbBgvehrd
PR/6fhwupDf00iQ6oMRz1CXI+ft4k2gc8h3QbBucstiYfwkChxT85+OQRRT+DhOtMT8FX/DH45Ck
Sos+iLRHI48/1gaYx0xK5mCLcECbwUvW9laj+LekghbZ+wgxO1qpPVj23LM/pC6J92W3z5Ey1IPL
8t9xmGkFycKmyRZKTamrN5EC+7Qbk4gmPEuVZz0rc2pdKu34ygkHBNJWodKPZU66aztmeDnYihu1
QDpc9vbdKCDRuYyVPIvSfyoMv4pnpKVT+UFK5SOsxnujtPqVqs9kXTbj3lbkJU7cg0ZcAnOKLw3T
TmuJj4pS9bZK9WvPVT7qQ1sQR4uHJOzEaagQPfdh8SobNjBkuGwgPUa+3uRGYOnTpWu0J5KjJnKA
DDRrZfy1HvPZ79SQZmFyg0jt6HNK6KhkljqsQxRT7sepVNYxQVla71wMuExIAa/mfvGiEu455DFb
E324aobqIVa9R8V0qLwzEJGYszsLJHvCtqNJ5/uuGTdDr1VnjWSzvCpfkQP6Q5Pcen21RFiTmBbl
ey2XH0XbXynl8Ko2Fsw8RTrIhA0wl8kwrBRFdBiXxa5uFfIGYntN7av7IdcHLX/sXnRZyfUsa7Ee
OmByMTjcbrkhypTJdK5KJXCFmMnNrTSQdM6XWGIeNTS5JZEIbOykwYjQ9+jHdn3fXMIMq65Bw8l6
r6krRLUYrLcdiipQFVm+x7u5blvr1E2ChNpS19dxMWxMaEeCaSseZoaT/eSnxfQU2Ygs+JprVNNM
l5Y8iHiwUeIrTyqBd9BGGCRqWHG11nuRQrgnsBND4KqMKBFB2cdsNIg0KJq7GILnGQN9eaXhBI9w
96Q+BpddPJBC1NqZGWSD47t5rm0LhT4i4/1/7hN36yjmHn/rR9WydmqvfxyHTltHcav6XatrZ4bA
6bEqSiYj7N2C2ALJHQ7MV4uJlpq0jyXOXFPP1WToNyRwOLtEDFsPcq0co0MugLtMtf5EzrPlQwhN
LrjCGB+zu5Ruvuk7/G2aTLK1NRbPhBVu9CH5VCKcTzwyB6KYv2eaSVx+Jt00Cp53Nd7vC+f3xqG/
U1IgHIIJj1vEcxcW9Xu1S2VMXPuk0V2y/F6YXxF/j/n+l78FjijbMEme1pil/FSVSfKx2jSxwfq0
z724ltWHwvsmIvpvB6dR4v5zyX6VFFH7N3cUn/T9jsK8u1xRIEWBgHIP8aE/7igVygUCA+4wRJeL
yPD7FWX/ZmJndbEH2sSQvjcQGYu6AXmDo1PmLyrSX1I3OFyDPxbs8FD5eoDNSUnlSvxJa6WFRocD
wbHO8awYzT2LKNBF5Gfmmg+bE1SFS6GZnFpXGCDk7InCesxuVAIMuUOznOnc1CXrzlFDGm/XbuGW
ls3sS2cwLObTmA0DvLqH0cgY8YAZmcVNyaoNmuWtrcWfp1HH5m8YZ2kXtW8u+zl8+OxK6vi5dKjh
9GWLBxiL9EFVWU8s+MgIEutcF9IfWf7FWviJhTzrQKjcTDqztzWhILd3nS+7w8Fq2BwQfuxM9rrs
ZVecTEXaRLal8HuTcAPQaSQ1GntRWAzVs04+cjQQttjZeYijt9i0E9E3ZU7UYqrskoT1ztQUz6rR
pIgSQMwxl7pPIuWLfqoKEjtN4U+sYsndmUkwycIPWu3e5KUaeHLYpvON1tn349A+2C6RyMykvW/i
uf8eRI0y7Z8fxH1evTTJU/Y3zyKf98ezSIzYYr3wfm+R3z2Lmo0Am8eJzhVKzIL//eNhJJaMh4Qg
YY9PRKHNM/S9XtR/wxjI9hovL931L67DWa//9DQi4jctHZgxWSSLco+f7/1d4HCXF5NSy9NksKLF
OQ0v7lQ5eOJe1XkuLAKWQLRzDxqs0+ZdaQtBdGhI4mZg26a4DXWGXG4RjrtGGxy5Mmz9C4CSdl16
4RMGvDsRivyaOzwGiW/rG5IjuaVNtT2Vtv0aVy45OzkYSK1okw27C1haLdHtHUHCpINr1nFm0LRX
iqwj5Islj1xPNivvlNDdc4VInQwZ78jiUVx5Npoy8DFyg+VvUTtThmSY29Z46VilsvY/m4M8CCs5
umUXXuVJJjZC8RiJMR1wMTXbGenrltxMnsNqqCN8pybZiXjUN7YwOTikI+K1MpVHAgQvlT0VBzJc
P2h2rBJxxICTQWq1jjypnJvU/jIWxPvUpaNtoda8zmn6mWlpm0Pt1/L9GAI3qwh6vWdJELLVi08R
LLN9H6cvXTTrj4RdsUBlpb8Z7Kz2nTaDQEOhCi3MK7yrQQm1wB5V5WBWk3q0kqLbJvjsoP2isGkc
58YlRP4OS9F+jOUHpYKAXpqFuVXd8sax2fbgDYROxiFNKBXZbbNgcG2qIxW5FMpRi/t85cgmth6H
KmJTrRriqgul1m2jXJF0oXOD2PkS87cbdMQLJ6khFFopEVmxNTgvdfTWrqdAAHM9VM/wYhVrX3VS
/6DofZbs9UHMh2YovEsySNIjytllogzt3QgvHsNlhrvCex00Txx19uwwBuY7c2i0yX97aP87vZbW
8J9PrytSXf/m5OJz/ji5sHqAssA5hkvjL1UEFmAIkRR2S2or1d33MoJagYqS+FDgkYut5N3JZVJG
oP9RnaX0fKswfkEk6Sxlwp9S6gUPQnYSsHUeS2AjNNU/HVxaFdF2zd2ZRM8Whn+CuNmN9cx3atPb
OoP71IbRuKkrCxslPEBTOeSt27M4dpYsz+Qt1jN+i/hk0lPlGODSUQ2qtxjQymya8bogHLQyRPKB
jZDu0Z7MZIe2c8ujFZMnmlnoMQuwepUaIr2MyIqCi1csak3dnONN9yY8q4Eu9HszVHIKE61zsvYx
j+2UBc2UzTrLJaO326Td6MWUaIc8JyDkLgJ5osCRDFOi3DB/En4RMRd02GJNQ2f7xI+kW0UQYz7W
obYdBC3KSPQshAO7+Qi8ttd2wpP2HBhtLyNf6t48BVnPeouzPVSYWpmVwja+mu1TLwFC+BXG/7vE
tpsloaVi3cVgdatVsejuhJE1XgByM7tM5L7q29rh32VEesQ8mh7U5DoSabOa4tLZI70x1OC/R/Rt
GrXE7PzzI3pXgjb8G7Xd8lnfH1Km86QHUOdDugNlucB4/ij1oXQvODvHtJeCe/nQ94fUBe1NQbJM
q76pnP8sL9zfmE45hJgaJgIGHP6/orYDxPfzU7rwRmgqgILTbpDc9eNTarp52pi9Li9k7TTXDgKb
24Sl5KcyM/WDXJDK3CjOxsWvcxolwb/oZgl5XCDMzoJjjlXAzPgNEyRVZRg4SgchJaljOGLqOcti
7zQYWngEO854H1nfahi40jDhd26gltW0U1zvMOkzLvMu7nYaj/OXJFSLLUlioa/KmWlx1U6f8ziO
DkTdo+9BTOrrBZST1nVJM2vkR0+v13FmPMkwdw495dkGddZ4VYBtDngUCVbpgNxPmXoRRg9+OhHQ
vGwgoGjhWPyRe1J6C9mKdgHKlQvvqkIPZeLLyv16nqNXtqSP8YLHYqW4TuBlEYnikdkJQktH2Lbu
TEe/jrTokwpnK+mNBrlxcWMtCK5E7ZRtt2C55ghAFwxsJyDZ5wqddrtPOhOMVxybW5EVZjAskC9b
Y3CeWBHgLxIFkDoPN3ODILkiE2bVK9YMI8EKUuGWSOy8c2pgtRgkr46yAMZAnBl+vkDH2lZ3aboA
kdUQyXo9/VxXIMryrCvYhNtpoEXkXkb13KFL4Q+mjFqDOkOooBK0HccxTqWGYFJr2OYd8Zly7qun
oYzS09SZL4ooVb9W2bHnYIp9Sqm1SKM7AAE3uRMZKzFNW33IPurp2HlHE2HaqtGzy1Br16XuflSj
1gG1BgZUUbeTjhzKqVmRVHwf20ZGmA1mdGJYVa2RwKPU014sa1FD2+PdEEOda6lO1kJlu5Dn6sWJ
vF2Rl1sazGM6gTMa1W2s9XowZxGTs9CGlZpuUIBe8jnp2PLkG88kVANv+cmSlU8KxL1rWJk/T+aV
HZIePfcoifQGcZVWg0Fzv0AKoEqU97VHoTyFsPDKilKxK3SZn2th0Vzqht1/wQMAv9dgI7yB3sfG
eIGLg3sQR+0NOd4v9PFq4ZBDO5qO0cIm/+8w/nYYU8X8y2H8VHRP/7Nu+vmvVZPJZ74/kF2oZXhq
vd/paO8OZI5WwCl/JsF8P5AdXLr2G9AHOzUHOnrq7/2ezfpVhU/mcCqbLEx/yXCLhejnA/ltV8oO
gL6PvelbP/hO/uyFChgQDrYL5Ua50aSNW1zPgAlPxUPSGC462AaRrs74PBMOVb7V7WtLex1KFQkF
5clhzBjO5jwlTMv7XVRGWE/gDhsN6p6y6NNNH2VB6qTPY8jaSyPjBNwkiBIwawVvVcuFISK967jO
760GIiaSRbkEjh6lkPdR1KHNSh7C1PiQYxK6kCKlANbGVdEnThSoUCoOeRY/hEAjA+F5N67APDD1
+gtJ1v0m0pXxQ1F7O9t2rtIKirM6kabWTre1Nl6mssr2mVKfB6KWI7PeWmoLaMKajrmzzJIBizWy
PLUWouCoM4D/evE6jNovMtHIrIqigXxdCREuCbdRUt+RYbKJJ9NakT8FiL9J9kPmfNaWbQChvuch
qlH4zNE+nJB79lO+i0uQVZPoYz9rBPCY+TZEj7GzFI2Xpk+GqyxhE5Jb0dmrkgMxzLWfZqDTOuVr
mmbeKqlrZ4WydzvOYwK+nB2rMhDlq6EcxD1tbPrMvTaiAtAj42z2L/TBnXGbVs5t2X7V3fKVtWHA
TGriSy0CGq19insILW3IZtZ0OsK4DH1lVKm2dPKMzwYcpZmZrG3Z7tzSu8VSW17XuXaqp3QK1Fqr
goTTyQfHq29nXf9gzkhaxIAyWrHumU95h3pId8LpEt+uw7PaYpB2Q7EJk+yqLTuQeKXfZWTOjMWm
nMhoQyb14JmtuS0m3VuHLSZlLyOMM3FOspaf9DLfmAX5opQL+9wYbqFXEaE5jy985wmvTvYyIJK8
FIDkV7Umr9PJNVbwwk5er4THwWiekSADxG00fZ9Ehf05VnInqJ3eswJZkPGlzhtLIL9rEGCdIcc5
hyoq2xvS0uh1HaKHPF4gWlrLdr+6lTseBhKJANRvGuqNDoqLtIzRN8Lm0YPhghcL2B0Dz6DGi1T1
YteMEvmMxUvsRgQk5PF8b1QlzbcuR6I+0FXW9lWnyZcFJO5rwrrNIG9f2ahT53w4LwMXDdtOAAWf
iLM2/prOlbfvSufrtEhSDXcmEgRDFlaE9qYjGZwH8RQy2PGdZqwOpdMwqHSAzwkziMqZnO7I7Vca
RB1WMQOqtjGSMArD16xCS95IQnfzTr3QVZRrbGFsmGa8ZZRIwazaNXTs2VcQJiG8O4yp3voI/h5T
JKdctV13jMnfPhn4wV9UNRQfSpTeu2xwpbLIPsdy9d/t9G1xzUH+z7fT8Um8/PVe0vicP+6lZW/N
7WEStvD7BvqPe4m9tceahp7AUBnavWsUoICyWSO41OGD6tu+4Pu9BDsUxyOtt6MxxV/MPL/QzRvL
DfdjO7/sI9gMAJbAtU+0z4+NAhM4+sa6sC5iyEAPR3kd3k2TKOodJYzYjqZJ6pcDvKomvjtKsmxv
NvgALCrWnQiJss+lTn7uqDLPSzPyGKeeqClzoRAbqEzdhUs8LoRiQSaksjCLnYVeTNG+sfOIsRlu
Cm92X6x0IJeaJZ4fvuGPbZ68ArQ7jOeN8sZ6X6jvHfh3fYADny1E+HZhw4+oOjNg8TN55qMecd9A
kVcXnnyrw/gpQMx3s3b22Gji8CE0wr3Mtbvn4r/DJEI+V/tJWVj1RQgyGHh9s1DsCWX4lHURQND4
Ltet+yiBd88YN8ZECQNfA4aPjnlvuFWQquEjYvSnhRGBIBGqo1hI+th+4NObzspYKPtNgyDUAbxf
LwR+0eiIdbJzjQATxWt0qoH1N0D7AV2/drzQKNDL9VyOkILD6pAvpP+87HYW6H9aJ8SHMDi9uYgC
gYLTAbPhG448zAQHuE18I5ckgbhL9/2SLVAvKQOeZCWz5A5USwJBCqARC+ajYIaC0bBcW0YzbyKZ
QeSq4i/tkmQgl0yDgp20TchBtqQdkNF5Lpb8g3FJQkia5mMVxmZgNK/9kpVgC1ITGEEy1rVsn7Lq
VVmSFQA4Xuola2FeUhe4IT64Sw6DQiCDIJghg6RFxBChOEO5TjuyG6yoEKtpyXMgoO7gEvDgYM8k
qxT7PFHmjyYhEDilPk/qfFO7ygdGk49jhXi+ITYCWBxGlRGgJjizc+7InWjJmGjMJW2C2IlpyZ9Q
NIspZxVtUqIpZIzqGCvwxiG0QjL4gtzcoLfXE7t9HiD+HTHgMnXNFxlQB6Ao88dFHMTvj2tILoqh
0EpQDw3I4LjdXAf/UM5p4JNmiIKjDvlksbziM4qlVRJCCMKRvfEUNvpcj0SSsNKKd3JQLzMPw410
U2crFHe8qczWWrE2OxhGagDr5vqr+Zw5qZRLGtGMOZNaBgbvthXgDEOshCZRNRnJtM8Z+q4s4NcH
151mpnLWGCB27yB94wdSYeGOKOJdNbpgYiDYTtdORl+T9Ulhh7Av8tssPdc2jE9de8DHLO8aTRGP
hZYit64JEzWYB2thUwUu+UerxjYEuuJoNZgdSzMEJ3hxyWdwVZf3jU4QiVPAO9PGfjhjvgFGVnor
R5EngbpAeIW+6hnEr/qM7E89aZ+bXtlqSAGQZDT7wu4J7LTcg0Ivd9CizPXLpU5C9t181pk6rnDj
jQEZSMT0LUu7InbwBORNtVGqDDsZ5PcvtaZ/SvMcui4RLcHYjO62mEG6CZFZ2zIniLRVUpWJXl2i
JVn+vqGdr2YzvKq9mBppPCc8USQj94eUkUc88lurirXRIhQQ0tgmOUk2pYdWOJ0bPL2eu56QSnNm
9PyF0NOg499gY5SbvMhvYisx/SbFIISp6solk3A1Vuo2scQjUvJtr7R3s0BpkmUNQV0Q1ApNnNq+
QSHZk2OADWMbVtXO7tvXyAhj3+Ly8CuiHPn/wT89uVP+IW/T7OjFw3XBK8oKIvGCvKTQjoi8wYP9
wBp2M5rVVR+6L1OpayvERAeIxbh3tWkL2OfuvwrhW4Xwr8PE41PbvvzdxP/dMBHdANIxxAG6ofOo
veeBM2c0lv/5Oy7qz4k/eFFKisXyS3tqqW8jyO81gkd+uWPzFSkUUBfovxSpgTT45xrBgpthgnID
0g3KyfupRhh6bwnFtceLZA/vBPEQpuli/ZG438HsZnp41c0iMgKZDoP4qPUaGlYWFUm3r+ZEXU2D
PYtjK71xDlKmQnMgxqooicMo0Ol8mdg5sjKsiNIhDqfhiANhsJtsLfJePTXXujuCgdtm0yWOGfqh
nGfSK6pytGGIKstQvbYjfa7QyI50YzO8o2nl9NGkBbkeNXNgOhoS3sV4gZFeaNteFS7+jyEyrftM
U2J743DMsJjgwClss9tVyiB3kyH79HU03GkTpeAIgihK8y4AEKvuYkxdByV0s+cE9S/k7VFjrFbJ
IVAy4AvEMXE/x0yU1FxB/Ar/4Xmw6ELmOTe2HQKwmMOZMEBLxq/2qDDtKtxXKh2TfA6Y3k7Fx8AU
otkdACAxoxqv4ghfj7scqlGC6I+1LJzERkGe4DiCU7oTWGyZngHbUlTkGGx7ETqpO8ITqEMIw3vS
3IUzMJfRoWqU7NoEQ70it9HbulXxIpzZ2hqZEZHPMZhbGsQkUNslBDsiAd60+uxaqH27rj2cqdVA
dGtdj4GrlFRwrvESY0TYob/gbTFkTCno8ZnQRs5KtZVnpn/Rzp6zHiJU6W7jpnl1xjDESEGJ5OQU
fv4IzJ3fSXe2ZZm35CurzIKVOD3xM+c03nZ5ECMj2j7FiQbuEwDDKG88L7S2o1fmQdvHFjEjOWa1
xnRXYx/i8ZiJuc9d41NWCJ1jL41WTWOqUGhp1krQk6uuwgnTl0a6xTte30SyZgkbjd2Nk1CRzFKr
8SJJifq51LPNrHpT0A6A3vG2VMGkOWR85/St4VSInZZhFmFx9DvV6781qQZc5V8aq7L9n/9TRC/Z
S/s3/RWf+r2/0tiW0ljRhuhobX7AHhCzQFjCgn4HDA6N78+z0zB/czlUbddFukQRshARvp+dhPMt
0jz0h9jdXevX5n4/T/3A+0FcYAuD3o8zXF0+/m7qR1gB5UYBZajPg9lyVmG8NeuHdy/M9bfV63tV
of4TsnnpBZeBImuoJX+aIoiX5/13qRnpsBO10nNXpknml64KxczDhrAODV0EqdGi+KS2hRntFvj5
4nSdzeHVQPtxq1bxTYYuU7fi5DiqKr2TplhrjTi5VaYl6lqN4v2o5/t+iE/JQGRQrx3VebxppX6q
5/JqaowLO+CDmgq5yklmXqVq7W2c5XgBQyoJgPO+wtMdCV1gNp92IJqR0L8m7GeBErAWWIEr9Txq
YbmaHAUPLuQE+zAqc74Nx8nxO6XFYOIROTD1M7eGIO143ejmx9DwnK2TWcZnPQfcoMDI2iaqiO0g
7usqC0okuA8lkGTshxAGdpGHUXivGbi/qCzdM7M1SamD1xkzAjGmq86oDPfjrNe2n9V6tm2U2ba2
GqumuV5XDIqdmgFS3skQU7+lXNxaV058/cpvk3IllKm/KpVi61Jt+TbBUlwCLMYbxyWWKDPFoYft
4l7z/QimsN5CKvS3wIpIGreMh5YQC43RYR2RbOE1tnMYKA0f0TKZDwPJQIiaJWKMt1gMF6IPhFzd
GonL4Ea21+rYevdlydDNZsscAEowfb2a4nXWQ1AgB0HuB1JWz17fE2PIa37E99s+tTTak0TCKydX
X3l1slcA4gYoE9DmZcN4Ow/UvKrMAq/UvNtIEhJAIYv9UHowkioyTCdBrEapoQBIHtzcGo786Qam
jskcNGxSaMSp66dsSg723McBWT7ztusyZM4eKuI2HnSgynW7tY1hN5qF48eT3t5EFPncMPmJlLcT
RuRikzfJjVlahN/2qR/a2a4kn9uPDPW69ca7TnOG+2iY3NdSnZgNCN8eJ/u1THrfyqHphbX2QVUY
VdvdRtFLEXhKvhEuFftE59La1de27V6KpHmRqfyIBBAY9XDwpnzDAYJ0at6aE5m0hGMYHhtNS4fo
T3xEMzyrVk8Lr2yyUeP+wbHfyy9YVLi3voRqr/mjnRnc4hE/hDU8WnbynM22GditaA90bxFE9fmo
5yCgI/1kV70/9uKx4s/XdgY1vesE4WAzYnd3vTo/TmEbRDmpDrVar8imRPzeFuoeB1aKtplmwHGu
+R1vrR7R1JTMEb066npzUJNTbNoMn0P9psuI6h3r7irSJ97MgAmyeiI4M+RudHN55fEQqSVBEl7j
T9AT3Mo4mlP5QODjWljOXa9HNwQUHAFSrQfdO+b9cBN7TAr0KtBDrAfEboDCFtoqxcKw7huymqJG
PQtFfC6F9pm8qEPSEoSeuYe0127mkYwTjN9llp0sM13XWS2vZsehFqNIcMEY1MLZMSr2vYauNJ7A
ac/jwS1nua/nojgA4viaS+bLSlxkvowIw7QmQ2xrr9qGrabczlKpN/9+8v6Nik8jNlFndaQuYFb+
88eTN5Za3ko7w9VZCz0YMk8GziCFn4PIOHY542hngEpQxjlV0/yiVXV7U9dC/eDObrYqp+m2b9Kj
OoW+8JwHdeq2dWy/FqxcCZ5qmiBKIXMwXdmUM+/pLITmGVotIU8kZZs12DDH7XZYh5/BqfTrJG0/
6igLg0Hr0PCrAqJ8sR7rdTvtSaxhOhEWWy1ttro5QPUmbzR3vsosv+ud9NBjq5/b7FD3eJyq8ui2
urftSLz3W5ns9Cm21hDF2bpiOY3NdBtxL/mt2t6astfWBHgf1NjjuUYxcww7rWOMMt2nyWCS48r4
R5f6xUwgstc26dlTslhF5nPcpnsxWltrZE2RZPU+fAtIc8EX5G60QRIQWFF1zCIIBk5BpF02XmV9
vuNeI/OsgghSypZk6uYi0uwWKyUjCOK2fBvTASN9ir2muU4MyIU5qeXUf+m9KXEsR1Py5IEpSZYY
k4k3qMsATIh6ITigvsmBpWmPaS7JrbXxwZk7YmhPRlt+LT3nqNZ4riNP+Rpq9ryqSIWmEZ9wWuTA
2KvlLOuOiWN/0tVso6oSyAejE9KjNQJPpQjMOLoYs6X5uCQXQE/q7oBA9B9LwxivUB03p4xK9tv2
+B9Bm4uc9L1qixLBZu8IBAomCAvPn0oEhhLj1NCXnMM+8Y300Oj9tw3AP36HHxUnfEmS5TTmyOjW
FkH7m0HqXalj2IhWXVIQz5mdwv2/JH2yS6rbZkx5J5Apa9cbLw3+lwfwDSn75+/11+/6k4y2r0RX
mYainFRZ3KG3ZVjNf+FW/ER3J1cxEvJ151oPdmjshx5w1DBhR8yKcSFRJOW6aOZPpeIcUWwA8s3j
TeaN2rMbm46fq+m97eajHwl55WTmox2K6aBlyAF4NxVl0M9OEbiVgsGrGohXKKTc95NjPJcFXHoy
/IwgSZIvsDmJFlDt2OcEln7n2uqalvquN7OZQZ+4Z3Kl7/PIIMGq+8pQaMel9IGt5sZux3alW+nO
UGOFQTMVCtu6YotkQ13XED38ZrRooZLpVo8LVLDJgHI2slf4y69407/W7aiv2irZNybk/dH8MM3p
g6mKg9WVDEwXA2USGoDtOoI37J5Mvjm9YjLsFzLUfQNMNBeM4JRVHwYVv1qS5ic3nrZFMwZDOPMO
VgPRRTmIuwp3U+6uqjl1/SYLTxWbV+yYRAEuprNoukN7RwFXKR/6DiGIYXTqena6LalXiJD78smO
ahIz85saSSBcOiKiNBZ8ePHZ8u0chovkw2r3hYx3UwgKZmj6c2VzRwKv2tPXvSBMIuM4cVe1ZW6j
yjw64+/Y8398iy8iyndP0V/fbXQU7wvtkTjtQcfLe0qPxXV0Vjb1Vf2R8Is9kR9H9uvx+os+kiOl
nYrP47fwnn/85gxt/u6b45DAXKIj8Fx+uHcPGJpAl0BeUzlVvrUqjvq62hBWql0pD84GFvz9RVkf
H4YACuzwxD+yszyqq0OyCTFVrfL/5af5sbH59koYhBxYSOhpo6yfVKBSHf8ve+exHDl2rd1XufHP
oYA3gzuBScNMZtK7CYIsA+9x4J7+XyipWyx2dTEUd6qZItSsdMDBOXt/ey1q3Eoan2L5inltN5Ef
2/+Q7f1jRXn/GvTH3n/gpS1IPsV5zMP1W9SiD7n+/erxy89g0fMC064xlPXh1ywmc6EI3/Dwlq4a
RCStwZ7znyvUf4/vOr/43x/fIeWT2nFf27fX9vWvB/j1j/88wDtM76J0IPLocICSyRv/2SCV/0HG
WSbPY6g6sed3DVLjHwr7LQ7opvMHSfaPAzwzHCYHCpvwpU7S8j9LUn58bhrOmrXGUmipPNoIdP58
DWqxIjHJXuinuHhZutM0Pb/7Wn5xeCdJ9NNtveapATOS0tTYSsJFtD5c5SLs9D40JnESixGoqP1g
pZ/yML0x2v47YQn6BG3iF7rGY0Yq9yrPh7ZJA2FBOjFXeWAFvaS0kBh38l0q4g1Azq8SR3f27kcB
C8HrqOq7S5yfcaijJtSGvtHOUbEqCyf4RxFfIm7fpoD6Xc1L546ysZ8Y8Pw+GiQImGc2fRROlq/r
Sf6VYzEdTiBTgU4QkWpjJD2luYRUNNO/iJjTEuewyNPROa5q+wruiX22aksKcrt9clqqxMxwE8jQ
9ZGICGMPGj7AjdIyqzq3Jd6o5CVT1SPPctitxXwcI8iDeVnt0MQu0GWbu9DIt9qS8CSiB8aszIsk
jwB29el7kUnnfqKF1xXLshG67Ud1f2tBZ5fkeq/hIcpkaVfW4qKvZdqeYr6eMg4gC128aGmRWpHO
tKzXUKGn1jNFzS7PF1ny2uM6dDsLm5xh75jvOEsLfw6unLPUc5dFF3BsIL4aR71sUMGrw2WuLb7J
DqCt6aTPpIcq3XlIk6XfwTy4akMGcbsFsmUC6KphMm6W0gtd0u84FlPOXejmaYt+m2hl5cXdFAfC
TvZzTqbLSA0gc6m5lZu1r7MqoXS64Iix+C0o9Zb9sInptU8EFh19eNQrDbCbcTI787nrl3OW6Ddx
gYtAhIgP9eGS/tK+mke4wSkYIp7yhTOSFBmP1C5uTQVnTJ/mj5CJHpTQYiMlNlVrXtiLsZGm9oV6
OZX33tlKWvdc8eEJTk5baV6+ZjnyWiv22pCQWjYda04t9Pk4r5LM4R/lgEFOIESVZ71wF2zSJH2O
QsBWE7PrG0kILpvm+1ylO3uFXmr1i2jlZ0mSbztrpQyFqc8gvScb+duShddZQVSMSeojkfhsq0Cp
JFJs3cUEehvoaF6URCn1+OLNURCZSZS5A3uxDHplXXmRJCZhmpo0jWHepo7+JOqO44eKxC+v17sn
HW9lJT1IAg6V2rBDMhrKV3SSbyakoZ6YRX4YUKdRSNK6wMkZJ1eZOQzGzjxFvWoS1jIfSI1HvtOE
9lvr9CCrmK6o3KE22ZIX7cAZvZglJhk4NCWnqU0A9rLD8R2+ChcGZ+S1UpaRS6tiX49JoOVCwk6+
6GDf+xC1lr0mngshH2oT7HQ8q8xitYe+R4Wu192+FBOBNY08hqI23Q6SbBpEiTjSZwHXlNUcDekB
hNPiBMtEP5D9aR1U5Jiooif52crlnGyi1F0vA584DOsvxjI/tKH2amXNjvXtMoX05TmKJPlzLh3D
TJXJGimGm5nG5PX0F2/BC9CYVoByPoqsvBkHOCyqanIyZN+m5h7cNKIMiqDDWx6sxmJBBBilWON1
KcCd1GtHtZovcGfuctAwhAK8eumPwBC2sRFfyrn8mLWDp4lVHhHmRNmyFz0NDbdLem+0Q/Og9Byk
Qz2x3upRUr1laVZKKhCCu0wpoAMkGlqpisMjIREvtpcsILjQXi52dtLUmumO7lppTJDWXeeiYCvd
ZTR8lry9qoQiiDSz3efzcG9K9R3jdR7DXCL3u5ay10zL3WHNERejbFboqlZCaiKxSWeMbRYtoAB7
YUsPjvFcMfoBBjKzhh1E7mFb6sW8Zeknf9nwCqrI78pCS4BWy86FmNv0Ik+jU8nZjPChZu9FRrVU
r6w7MgBsu/WUxFqhQsOd9TAkZdfcmeF8ZyNRX71fkDJF1W0MESmuNU6bHrg0wzVQtqigVl7OH7rt
YIinNsntzWTPCZTCZIx5KpHt14eSn3isN5pdtP5cVM/Y6vflmGwmaw5EV53l2brImvlejtNgANtC
xjq+F7l6Z4vGofg4DftKSlu/CvMZwmg6urUsPzO7Cblz0psnYQKxrStQAFnMhW4lAi5EqD2pk9Pf
hqoxbWwhOQQ85M90iL/YItomcD8Kyeu4xzoP+n4LqhYFw5tRWp56YrfGxEbfHK/HtvukkLTOf388
WPA69DFgMVPF/8smoLcWYOJxeSqof3Wmes+qdAU94YXlsnXH2eEHmPPdMNWQFLJdp8bwTBlpUMsD
K9URWwgF8uw6DsWNyXCCFgtPOCQhovAb5A8qEtwC+kLFW/5MhvrLd85QmaXAPKEb/WETbRSiSnon
K08jxf1ovpNTToPVJ96SHx3mn475WF51dJSmzTcE8urD79CJrIa2TnqkBhVBdUHfa7R5XTlseG4M
AyMG0vBE2qO6LilYzo68H+2RLP9cs1BpzHOmxSaWFnFNSsu5LXkqiQpIGy577hJqAQbD4K5RRaeE
tNMUGnznKveNWYDvmNe4sKHkrxn4VCWPku0yNi41RdoMMDg4AGtfpFbdrPNmzD40TMczpudVjbZN
UUC6PIrY2sQmdUr1G4mw18la5+Upr09WfjkT23Uta5Z2sjKml3JcEzuZMMVGCiWx2EktX0mih1Ao
xV0zGjw/lOhoFLXB0ETd70yFk3jFI44JG2Q1VhbUsnqmNEfpd0Eyo2j5MZRfBepd2Eisi8+2xHSs
NSq7OdWfc62Ng7IuKWPRTddo2y86W4+J28y3IoH+RSp2bU89rFCmC7w8r1mixl8QUm6JoBa+lceY
a/HkaF2zoc7muEKdbgrTzGkzKC71selAAO0Ta4zyy+thjetzOVB4pbX2830ZalJFWdxgCFFRXzWn
K/ylHvKTyfCNy3r6EnVMzxDR9RQT4mySQ1vW8ku+FWgiMYVkNeoue+LL46JeGpX9pOllvOkKo9kI
2iZ7LCGCPjuDzCAY14EmvdipPNR9mMp4SVuJ/QgLkVxUpZcYzW1UJBga4q7iaSA6+sor+w94cLF8
aSvzFc2q4Q1KZXltod6b6szemelAouK+WXVIdwyJJthoPqW2yYCy+tW0EKzUI8sAMTmznO5CJz1a
pPKaSruFScsVAhJ4Vm+NYbjM0vgW4cBNYTlbc+6fYMvoLvtGOcA4wV6wGWiP0zy31wSCRluDqUme
HKb0KnFNeLWjPSua9KTEA9LhftGC2JIxVkqTK01VoOjtVpbTvQNjU6UhwNPI1zOKN7Y9HiygNqNC
cFPJqfHn/Z3G5KZjTzTM51dtJHaloVOzzMCYeZ+0IzBmnKt4OlqluRmRscdWknpJCV3HSa6zWsr2
s70EVTcHZh76Rb2OcJkR5xJuxkFyrulYfCdCHRIHlz2dmQe8BpnHYLqvArVVFPNodvQANaBL9mpH
16PFG9cdKtH/o6QAC1dGOoK9G0koW9FZAg3fqJl0KHiKE43b2UrO3HW3IV1ROnsdBrbCUzMPxw0G
3qBsixo2WpP6OXOiCD4OC85ry0lqd1RwXnYyi+4C9ChVbNcY7SuAm7uopMsyNsfSNtj19rl0zusR
Xk1uXejReAB4gyUaAgbh9kTxRjndxfV4KXWcEnKymloRVEhmvXC8Mo3AopU32qdi2pgEHfVdaA2P
tSzRs5EvTYOOwRTqR1ouFIHCMDwIdbC8jjkReHjU/sdh8Wv2Dbtq7jsfFecO4o9EMJW5BABS1PRa
5ZNH21+qVqzc7+7UH0aqd1UrNXbm1KkzcTJ57g/dJRxnb2K4IRzPWXupcGL5/YF6LWR/fFK8f70P
x2k1jktOF6wMVfVNsb4O0w3EwTJ6GvXd719ozQj85ZWIHjCuiVsB7Mv6ZHz3ycauH5pUHqbToszE
ZpKpW5G7d0YXVfu4wuSVTcOhrsk/VYwXXdprrtdMYQ4uKWmikX/Xoy/1XZfta1hcNh1p8SAl1bmS
rduc7RunHq/v1BX6OfkldMSiT17KFLkxmpqbSIAxNeK43xaGOBhwo9hYBLMiI6EhW1P2mvWIbPC2
XnKfSsqF0Pp9oqmHhTawUTvnMYsOLY9tS8oOmVpyM0nUL0kt1spjUbdBkof7saZ9l0+2C0TrdZFn
w8vH6LmZnPZRjcg7qtjeP/lWf663UFdcde7vvtQ1ivbuS2W0ggZsaE8ne3qJl7fZvvj9r/bZv//h
wSFLOXtkCvqnxL6tU8dttPvfv8Bf9kM/fwDzw/WHjiuTMzWaT4Z6lQBH5GuS49n7/Yus38LHi3zt
sphsSRUDbNDP39JkdSPYeD6Fo3pq/6UfC/Yk98lkffJrqD9f42txyiC6AgBz7etY7Ex/fqE5TRhK
WWr1xDbmCw81/y7fhL4UDG7iPbql+7g3veH4dpN48cMUvObB/MYd3e0+89mqa53t4yd+d1v/eKPv
rgsH2ghqHpaRfjP4hFKC6VZsCdJunABwY7tRtnzPG8Vj2NeNA8evh0A/lV9+/7Ubv3oX76/OD120
POxymwm9+fQ07dWAfurGubLcc4cW2d8+Gt7R9Iutc4o3045u1O4OXPt22rHuucuWxHPnUzrzHV86
il257c4xfWxssQ+MLp9kDxDp3tlXB4gu98Xm9vdvfWXC/uULfP/WP+ygJbVLcnrpXJdu5dab7lu9
qe8UH2KIH/rE+QPiFRfV9urLMRB7qOeTl17AKrlITwTUvTAgpvM19B5+/67+2r77cLd8aCMkSTW0
lsm7ivdwHrxlR+TnriSH4FXA911mwTxygVv71OzUFwppwe9f/9c367/vow+rDUuNNKMvmk7yUgXW
OB4WKcN2IP9rOupvezfrqvLx6n1/v35YdezE1oZhyecTe2p3GL/I024032aNtiBC6Hrz+0/165/6
z0/18TAp4TLRjCYVp5hk6Bze1NH1/+0FPpz5tMnOTROi9CkzDmpKHdCx/N+/wic/jLXeiO9ud6mo
7dJiLvVU1aeuyDa1+rQI+5Otwmff04fFrVPyLh1QiMON5Vcho+9Mqfd/+xwfLjBRLZ0ou2I+jcNE
Cxyv3OQtxdXvX+STq8v6sCqZYSTNFOd4GgA+0x0GFPP+rGnCs5h3TEeVedh/Ybv/9oL+5e9jgMgi
xa0xxPbhJYFfaGGd9OKkI1vAxKbFFPm2v/9Yv/x53r3Gh5uGmaNOamJ9OhmpTv3+uig+qSp89gIf
lsQlKyYtrZrhJLNoU4yGt/LJFfbj+fi7G//DdRwnNH3CnOuYs4HbeNHFsMsuOSJ4F2jhguiMEfCT
xuyHgb4/dlB/3v3m+qnf3ToK9T+lV2OeUU8UhktWVQBXLln7V+W47Af3amEWhUe3EeBnce1ryb3p
g/WpfvXcXGkXnNpjNw3m3t2VXrz97O398kH+fin8eOUk7SgrITedcl4f5JLbbXN9Xyqem211/7F0
L2R3PnyX3zictffzAUTpJ6uXui5Pv/tRPvzug9SZcePM7CX8wQdguLiq6TqH3L9xTuZR2wr/Wd2E
bknFdtNuYYt70icr9Gdvwfrw3CMoKulQjvqTdKhcvDaLm35lmMi3DuLbtKuD4mhtmU38Hj1r3rTN
zpGffvv93fXj4PWbb8H6cJ1k0G51TGq4FDfTBsabm6y7un3m3Q37ab8HHuAuJ+QEj4TP/GJTb60r
3BK+CIgDu/HLZ9kKbd0Y/+X9/Pt2/5gosCX8QRyVxakJ9K25NXN/2iyb5ZgcFPcLo/ybzLP39Y6i
3nHyrPsAIQk/Ub/NNreJv24S/rU5+G/rXmEl/fvW/eXr12+/6tmvf/VTz16FZKGotK8ZIP6pZw/Y
kNg9YWuMmSb/179hG0CJHGwBpMT+BUb6o2dv/gNmLeQy/oA+OI39/2SoWf9xyPr3tcSxxcYvS52Y
tjqJAnt9E+/XQOq6c6f2SnQOnYIkOkKevoPDl+PoQfT9CBfGrWEH+QsWH2vV+ZRFROpOUINVvumr
8Gd0DEJNIzhFKz9MMBXdxUkvS7yvdOGl6zVq5farQsgu8gd5lQqFieMEelJ/UUQNosNmeRFozZXh
2cRIpGAmMlZFURLFL6aT+xK53wdSePKuJHgZFWPoWaEx+LztiiIkoZREYvJFUZ9xyJV+s6qRULQw
KkP1ewNx6fswdt9goSElWZVKdpVCXMSyVGXxNcopzuvjg7SaFZxVyFQZhLEzHE3GKmsSSFFwhsWw
lqzqzcboRD/xBPEHK9PIRxQt2qeuVq4kPFBpHl1WeKHSVRCVtgZ6gkS9MtL0Si41eBYJrPNxFUvl
rPtbU6f1OXTjFwxHdMkUkdC0sZmeiQFp53J6NwzzFbhWyl0yaMlOy63jWDi3HW4raNHXXTm2mzTH
Fyfhv4rxYMX9dIAILnsWh15Xx5UVKVTUo4pmIA3Vyq2EgfEm6TCXx/Jyj1wR1wCdxkDQwmeiGR0X
MLt042TTVya7aB8OsYJ9R2bMdRV5aaMtBTVuL7PB8aXbNVOWYXg9rwKwuOmdzRwRhHPywlnLhqZX
rsqwypS2FQ4xKbHInzYvM0y3bRdp6yBbTK48slDY4CDDGdBAoWOgzMRP1sNlCiwLZRmR1i+9E/MM
XtkROG+LIF8VZxOus9yCvR619SVIKow4EUI0LJA0yFGkydAoklDpg2HVp6lqc0NmO/YtpuL9dJWs
2QLEr7yK11pa8R6UiC/0zTW37gTV+VXUlq7KNrHK25IUjRve7UurAFhlT+a3th6qoHWUUzn2UMd7
LmXi2JMfDQlasYiREkUyb0usccOqj0uIP8PrsvJd302510XjrbTq5kIC29YqoBsLaMGM/jMOverp
Gjx1UMAm7IG5vkM88eyk6htBZbjgyO3UqbuUCkpnkWQ3ro4Bb4mbt9nRZ3582sF+2TnmNSPwvX6h
LJQryNYahM2ndgZ9PuIBjB+niHteBaNFU1Owl7Cmzaz12pU1Fs9jWXMGtxPKMl0vSArODxNReULN
zNjSi8VqjByK+vCM2KjC8iDG7ZjDNU4qxrxbKAZKHJmHtmFurLFj2jpGebdU4bk166OYQH+Iqvye
9M2tqsX7UrUPUNGulz49LEu8Vcm8xxJd6pSx/GpmHk3PBc2GVr+RK3PwFf7dTTMpB1ujykuOe19Z
kcrJmzfuRLtu1A/M9n034bZ1GVv7CqFnFRbzRSXNr+qaz2wUiFvN1I9uMg/mBWmTjT1FE2LT1Or7
xzJqhmozxbW+eMjhqluNbsUDKfSRoQKVwIQpd0O70xLbeImyyrjouzqPrvIoj+x930j6SwjYKrxM
DcgQhZP1vnDCR4WhgsCYVC6NEAJRyPWy0yuqk2PKmWrkuguMmrz+mt4QuiD/wvwiEz672FzWQj7z
yCgNcBVW4bW9LOepFD2HpGXxoFFc5VTr7gU8X3j9CctTlquBiNLvUWtdtybcB2k0NnPSATeZsxzD
pnXDeAajAMNDY2B94i7e2iFwRoeeWiMvV46eHERGLbOu5VdlDUBVJQ5UKNXKqORe34fdrsmlhGst
PM+ZrHpzn6EHi1IcsdGoZPtyNX91WvlqVUMcaCo8fWoYxyRL31R0YVU6vU3ow8pmrt0FoVioYxZj
lIZOAbIxeTqWAzuqbGfDEiiXLUHprTTY52j1lA0Iy0zEZUvRk4UHCWShNFPIWrrKajnLV9+ZVYy3
xYIBLV5daO1qRStXPxp+ycJN1QR0JXjLGYmaNsiKV4wEvVQEa0lqMDjbWsewbq6q1cHWrDY2JA53
TayedNIbvhFhJ2xbZAwo3DKzuqqK5iQh0/Iq2XxM7eFLulrfxik/jKsHjjj1IayXR6OhSowobl6N
cSrquHp1yIm03iQ0Y+vOxpSJZQ4VXeSZEtAdARykRG7t0Rpyy5kiNVMllpPhH0BZZw5OuxlXi51m
94d09dpBwTD5D6dNi/JO73HfiSQGqIAOzzEt1mfwG9lAREBKblEFvTaCTAYDnRkimgGvXqbxU8sY
dlqBcs/CvVco0bfUcXYGWo5K4v8NsfT1A74urH2FGv/zPPvf/aTGGe7v95NEQf/nouLr/pXhZf3T
PzaVPyzVFBRM8G26Yq0jCn8GQaFtUuUmHkoQQzc/GF6YwkeCJSsM4vw0BW9B1icr/eMfW4MD/8me
kgLGT+eTdU9JoxlyviHr0HqIlv68p4TpVkyTPrfnWRpMpXZVoaCmLUs73ZsiLs+Jbl4msRWfaMNt
Q+YGr5s5c9wlkm+0UL/JWvGtkmkMT1O8J7JwiC1lQ8vnSNjRk4blIi+h5ZSKv6gWI1X69DYzckVV
h966KE6qbm/CyDp2sbSpZumaMP29NZePxoTLM2y+sSFGv2SzxS33GX37WJIirNHa3rDjhxa+laTL
1yyQJ4FaD6zJabKGnq3hdDTtZWu0NB6T6N4gXyjxiYK8Hd+cpL8MHagVrfaCwXA79P1FGZqbXoOC
rTenMI5PTjVB79EReNQnUJSEswjxT+oj7bJdrEDdmWcXpOQ5VVJS1krA3IPfdIsfy8Mz8qmrOBaX
0Th7A3Ph+ggqIzdPLSNkEKi71lGDIh0FYmBxsTj2K4PbbmLqjwga91Ln+IzU38TRspXSlFYxs+11
Cylg7qCkJ+d19iCzIHal5r3RFbtl7m4Ku38r1ekk2eUpDpvjYBY7A6IH5JadIDlgRfWKBD0BQoAI
6jCOp99YMdtMW6p3vUUxRc9H+tgWDK2Z6H+YvWqVfuPUyIsTgns5ehoh9cdIJY8QDfuWcafOkm5S
h/krOXwgxHUPSQfGLzsQjM8BAyW0DkK58ayiuUzsfJVNNtN1zgbUrxLz1WId3NbNxIy+Ibxoqh9J
CMcuau43NLxMO7VtJDfBP9EKYWe36S51yhgoGaNOZ31ZECykullq26Etgc4oaCOHqdtjH5a3VcOM
r2TXN1nV1xc4KQevazJ06qCELydjwfCLMhNGALOtiDzhj2lLeqMq6pZkX+cafbRLS6VbnQ02cFgF
o43KUxv+EjGB2mqC3pZTT1i0XjE2Gn5nzreJPjc++14yeJqZbRbR115FANYdo+7eBnkPXU0Qgcyx
u9jM1S4gGAyeJI608svDL4y3MniqnxfV2Ohtdmq6bPQz0g16Hn5LFv3SBm0ijfzdZSvIWPLfijX/
SZzWjIKkqK7h2D2MgmxNPXQ97B6TGf8YlUNa629QEEtXbsuZ3XIj/E53TpAA4OZP6VdimBN8G6zG
wxA3fqba36LaeSln9d4wzG+8f+aHK7nz5pmhTa1mOxYXjMUAwCLtnIUUVDA21nnr8yAE6lZcMFv0
oE/zd2HJQGXsC9x3ZOYkEXBGfEgWNcBT25zmcGw2jBPGrDiSeVnl4S3AILJWTtYF6g9Zm052elTK
JzZcfMsNutkKiqw8ja3P1HC5SbNpH0r5NuWg6jnL8LysOPucYChugTeUPW8ThHe3nZB/L5YJOncw
+Mt8FxF1Ie6qbuwaNlSjqduwUp/6BrwFy5TXdAYkPwIvwkye5kjjH5d0ML8Eg0zw1I7o3yTR+oz/
MvEXwpUtw0fE8YM3Ox3/AENMOjInTZDD1PsWu1Jb38WjVvhyOs/BZPK7T2H4xByS4NkcWlxf2gbh
LvpNZ+QWTbKZPhG3JTgf0BQa/nBZnbZDGHHSIcOVZAnlw6LZJ8li8t6Gi9ruzlPBPp4RKo7uGox+
+RT3w0Mpyxf9yFQlfh5wjxIMM8FOLYvl2zHqD0YZ3ykzuwx8IX4JoNC1dZzg5iQdcZ8r7Euye8Bh
hpsUOLxzq87FbRxn5aYduyj2pCrU3aEhNSOlQ7zX4T/FoHDdUiZoKS/sgOaSQUQ6BWzPhXrB9v66
Ljp4TMqUX9MkS/7Zl/jvXmQd0Pj9XsRlhLv/Bd17/ct3WxEw94bG1IfD7uInurcCb4K5EtDaK7PH
oWz6R33L/AfFLZQeRJKpcbHf+JMpgXDEIa1qsZgAalCol/0nzL4fDZ2fylsExlbOP1Mx2o8K3M9b
kU7MhjFktnSyjAKUQ7UfALy4ZW7im1MQV2RwzyQqAF4aF9cyaCEPSj8RJWgI49xXfp72SCzZ7dew
9z02ZCCnxxkZRmOPCOi7t7GYHjjGvNRyczkLbc+iYB/rIm8D0pLcihqPsXZbKEXqR31+M/2IMDXa
F1NJQLyRjl4zlw7aNJfMteEywcJss/V9Wj3D6ViD1ANbB5QHmz2EcCFZS1A4zZMumH0HU87hCHNx
GtW13yAzLpsMTCZ643H1HOuhxulLcJT+IUE2Vh/yMhrk2sJJf6nzAV1y+kOdDNxm9ShXXV/dCaI6
NdNyik6CEs5PVY3Oplag7g/djFNexibX0JAdGOrgCJFeiZQWiAP+uqjs3BNy+rW3rG+hrAOq4Hzs
av0pH+7VjkhcOKPcGB0qXXjgbq2JAQ6lUF/SvCPg7bRqANCCR2s1wKDuuotGLt8aNSbvXOYxKT0O
QMB6zEJXr5ssIrYYW4jBZk6KjChkFk/Dbspkf5L1p1KvHmALVed6maoj/ujZkywnKC3nrEVkrvPq
1CndtoBSnTvWxWSET5Yjs1nNtHlfUQIDOSvvcbJDFeNzQybDtRKaFfbofNE83s+jHfXJxbAif+sV
/muvGOCQNfkc2vJdbuccm2qQtRy5DnqR9Jnbj02CLk9S84C8mmkGymhfLup8LXcgdWWT+BwjC3bQ
1vJtNMzXIeIbVnrt3EQOEyQqFj3z2kitfbiOww4o5GQ4qkMf3fV2cZ4clJ2TumpUecYzBd6NtRun
BmaHIn1kfuLOqjiOjvZDIS1oTNpuN4nojkTrsR2TW0YIn5Je2SmTjUg5j2vPbHgwLKT8p4HCgaxw
UCemfjTJSx74yVn2RfotZVs2tLw3aY6MQNNG5jtVzHKLxeCR8YLNMAhX02Iv8sslCm8Ijtb7mQ3R
UZMY2hHjWyl1QdHdtYLondM411Gc+nXHSbdGvmIqlIzTEeZvukW6s0vmlJyjpl1CRHgpBAljyTI3
OFugRza1D6owWctuPIHn8dUJlSqQGUtezOWE/fscyza7wvFQdRLk2YlSofHG6LtJzjO9XaL4PCr6
Y9Myz2MoD3kjK4GszpsGyADIe+kUys42LUrkfL29zku/DSG1SG1Eix3NoBGH/JDn/GeKcxh70btj
W+wh1h2HvjzwXy7BNGnahVUZvYulN1c3SkL5jNHKsriJZTAZxLWj5zRRg9JI6SAZ8vdF6nZZMjxD
7diMzhDMNm9Bs196u7wsBPZW4om+pgiKMVQxo/pptohHqgVbqlFn0FYVN7bSUDKYGPFtW+0pEe1+
BHKTS0MI51K/1tJoj2XhWi3Z8czLcGkMEIEno9yGZWvvYUjA8LIwxGaPqZodI7m7t8padrH23vTx
yk3JL+OyOcC8eswK/RYomeXCvfqiF9xqcgsJRz1PeSH20ayIdWJnl6ucCBz1hovkohJkrOO2P3ch
UVoL5KcQw1OhNtQz9XwzdPJVBckAFeABaA3Al1HawyXYya3OcavZF8u4G9mDOWDTmHHY9vly3Q9Y
J9djgqa1h6nmkrWBexddfk9B9SUbk7PeGPueSehORwBQmXtFix+GLrk17O6OGGMOODncDEa8R9Ly
ljEQpxRAShYYrqHaHvGlXZTLWtlSxsu4yg7AGl6mXLt1csbsKCVjFW5kLzXlrT4km7KuzwjUD4ll
f//xSP7v3mRNP/393mR14NZV98ouBP5nP++//u//A8mLO3f9uz92JqACNRksMJh7VIM/KiF/FklQ
DBLX+6cedy13/Lkxsf6B809RyMrrjLKuSKs/dyYWEEENyRDYKJ3dDp2y/2RnsiK13jVxfzTeUOpq
dAY10Fvqj2HXd+GDlAk11VrU+FzIsDMvYwwQL5Mix/beaMsyukLfYVwsojFfzFgfmemWeLi74ySN
z+1idQ9OrFe3jpMYC8FnMSK3L63+sdMEw1UEzK3AjFNwpYn0MKkceqaI2kOuqpmnTuaVbZdbRpjO
YjDvonx+Jbn4qsbsvOEjmJ3Nms21q+ZFgqCVQ72SmcE0hOS52wvgBKjKOubaonbovEieX7OG83Az
tgDwmRbgrkBKMUNtwTBib/JyIB5fWqS8BTHxqG2JdYW7ujBv9IEofmIqfqYBVwmJB9ste44B723Z
3Naa+hLbKbuSEBdtWbIiwi5ctnbiFF41MHhGiO8mNa3jYHdPKtGnzCzzY9FWBxGzDWpC7B96Z0Et
byNAs2NtMwGX3QxNfd/oS32ptZDEl5KCcbvyftuCesior4jYHBpvr8GDmsooP4Jpx79YP2km57FO
kcm1y+23pWtnii9THtid2JGP2spOsVOo9NeWlVJMdzxdJyzONnhDGRWMbsp3gAtp9KLBNnZJyf/S
h0mQnq8eyjj7Skn32tZjnxPkFyWL78yq55zcp/oxNMI9KNvrpF717wYzOeCkGQdFoxZRnsNRy6Cq
ad7pLdI0yjlfzao8LJCy6tkmISjbVM9Ly3LpWKU4AqYDJQivl0dYwlW5zRMGGFRdLF6vsPw25UNq
doBhTObSqPoHDM/cUkKhMDZiGeYZutEbaziJtaFIbsrugQbv+8wsHiBaTX6bCeYeIcwaWnwqF+oJ
jSTTG53FfTunbyGbiZ0Zc4Y1dHljtfYjdcknK4w8FeFxXhDAYg/IkXK4kWZ704TLOc8S+krqxgn/
P3vntR23sXbbJ4IHcrhtdA7sZg43GBRFIedCfPozi/rtLXHrt47PufWNw7ApsLvRqKpvrTXXhZu1
vDL77ph56WWe7JfYRsMqSFmvmzFGCENq2anVdBA2t51mJcdSL5ek7fjFFfdRcVBzhUUxgZaMga80
8Tod0iurys+G1xxMz770LXqakJzl0DHXilG/0MC+jCz9PhcZm88S1n5vn6d4MEBgUn3sQS3qa2SK
oL0DSPzFVsZTY3fvepDftcLZ0bdxTPpU26mRQ4Nm5rVkGPgcACB+zZgynfU5dBbumMGlLewzL95m
pxg91Q1gcE3Nz3qgXSB1rCle+aIogU/HgbpwIvC1uZFfRFe6yAPRwclF8RjZ0BmYhLKVUIvsoGRd
RWCdDHDA2YXRWf4KTjJdiSm71trgKVPKyYeqCh4Uco/nzsesEKdOI73amc+Dnb8KQ9vPFhcd9Ouk
isl3eLuoYrmmD8E0zK1RUVEYB9mpA3azKEy3WE9psTT1VIKBwHxbEYlvYRxirSmu2Z4H7X7sNcmk
KnqClmS/Pa8GEpa4j11OK0RY5mTeawBN6zpT8ey3/PZhUdL/NZr6ZZzMPSgK7Srii+XzmVvnwsEU
ZPWUq6H3jY9zXYQ3jaZlh8RMLDYEXbUaMiXbamCUFxVsOmMRUrzGhMIW0VYoBuBRoDDE1ypVWytJ
kH73tv27TOs4k/5mmX4vvpZv8a/6weQP/rlO6zqESY2AGuAKvuo/TRBMgBfgKD1s9aoJZPKvhdpU
/1BZ7S3PA3sLueLHOhr3D5ZvQ1UdOJb/SMmw7E9+UQsiJYIJDhkkFfzXn0lNDmB7FzKuctYUTraC
p6Zqzu/BwFAxtTJ70RnqGpjcupnCPNuocdXceE2uXOtOrxgMQ8vCuQlR2V1A9JOx7FqteURUd6Y3
S+G5aUewEnQdhnZSS642TSybsB34J9MzN+goNNYxsNvQJjyu+krx1g1w7qJK1bewhtdd66RcS8nw
ZkwrFr3keouS/9dwanNBsrl5qT7435IEPke9tR8KZ58kjbEY4PhaEfJyC0C807sv+ajzjZBscQrP
oebKMnOw45Pkj+eOteIB0V+5kk2eN0m48iSvvJmA5TOPMxCbwRCVbrgwJi9duSzUC10yz2e4brog
oZu0Bc/LSZAZc2Gka9pjbBInb3GRx3UYMQX1rukeK2BcaKdJZevi8mgcMAm1MaN+lwONKTKxcCWf
3ZGkdkFV6b74oLdLjjsyv7pqP+DuDRsGHqgQ3/sKUCMfi8KOH1iyxbQzEVAeRGzua8mMT/tyvJ55
bG8KUiLXY6+eSVxHW0/S5gMeNByn5zleswTQeuAbRUZ3g0TUNxJWz2QXbj1al7vE2QHNPokYtTAL
qYJbUqvVpk+SSl1xYxe7oumpEWvhzAe24p5ic2jHBaVsp9Tmh4uTVnfBtdZFz1lkWYuosF/DhjDp
0KLiU2b5nGoiXAWi+sY2I/eFEh6pXMmpapvOGa4QP5rybxFDbahW4gyGZfJzUDK+2bg0vRUkytDi
dk1fO3vdqjS/T6bbKJGGzjzfmBF/8RpsCaOFd9ycBrokiY4P/AJC7xjIN/2gm6feqpT9ZDi0CwBA
vlhWi9zfYKdA4xgtw9fhezApy8SRCme8UdxoZyjA9rqprfpgmzzElRIMSzPoC7h83caIspesh1uq
jhpcj7HdDyNzqKwPtbVlBu4VvRlrJfe+6kp7tJP8uuy6+0AxTm3l6N1CV6qriaTGTpelkBTFbBWL
GHIurIx0dRCsXPddKOMhzuDXmc5xiqjDc5JoU4/EJrE88JrP7lSQEoZZ0ysHS4uPeYRgHndWcCpc
PDC5XdFZFIW30TSGFMllO2ba27TmQ3Ij9gJDDMMtAc6BkeY17Aa+gXZ8pqSmh+7PYqyIPvfplyVf
m+08Ya3cpnnNG8jLwB2B2n+znZhHS75mV7+u0tpX+7aEYKneVC3QlCrhDGoePCr8Bk2AaRNgzPAU
3Lt0+bFpu7d71eUm9UobC59n7wN3/lbV2g1q3c7p3KWR5ytbjIavRuOB9KyPovoa2cYGEWvVhmG1
SCz30oKYcEv9q5fyHc4z4114042pjKR06opSo3mtpKZf8RnD36OqAmghoEG/nzmSYyF4m6fpbpD3
o5YmOxAOl7kcz7mLj4PxQjCWWycvfR6kbCws/OnFeDXVk6+DpCyCbqkwcqJqfcNmcUuLpJ9XydZu
x7ViQaCgVPjNdsmLoywqtEekEbCUqjwzhEBLU8sNHm7AeV140QVlBn24HekRykvliH9uPWXxa93p
i4k4Qc1XBKq8T3RzaXqqH4jsvcneS1AAI5zbxFW3k2ov4qF4snBQtbOxZH69KkRDUFA/26Z72wp7
zbEF88d4Y47eXZbMwHcyygzKQd3kJiCZwOMODOheIhvsevm3CWwWT7g1BkO/jdyl7VKzgQS2M6jV
Aj3zpGqCLZZ7a9vVkxu1N3L01+Vfi6l6r1UVKO0Ia8KI1zQ3r9tgWqahuYrUyQ+N6JpQ+qnsjRs2
m980RSz0Rl2oiL9QIbaK12/dVlmrUXabWOVRWNo9Rxviq2hKtlVJEsChVbs1X8Wr1nPXmtHujWDi
gvUKKAzp04K+pRoADgfYt6Ern/ijcFRS3TcxOSEoi7rnRIM/FcNrW7R+4SoH6qB3s+JAFGYQ1Tcp
MAEWiagKah8XZYoA5mx00T8CBHkRVMBMlcP8yQGmThVLKZot4d+dOuYczSwPBGf/NDTqY9kkN6ji
GIRGdpsd7523wgK9dYTF3elswN9dU2t7qNCRe6W7zWJn647BGR12BxFk3wcakxrQKUUXr/NsutAW
jdcGfMbgXieNdzS08bnCST01sPF0z70PGvu6bdpz0Vo3FJqozHfb286yln2Fw61BFCus7JhZ4T6D
p7cYsH428kE1l09TKg56Y22qCniCGDifk2kY5HCCOWBV3DfVtNf08qDoZnRWAjX4QjlAdtsCS/dn
XewbPJTzMPg9hT+KknzFSHefiByTDuzPheeIZxOysC6VWKrt0lj7aucKZJv6KW2iHaLLmectUHoJ
9xnagzXHfC8zJ/VnVXuOrLZae0Z6lzciwwGXblJDu1CmmXCaregGHow1fO5tkNr+oCv5Kobf1DMx
dMIh9LVJX6YZqNGouOAH3CTBuB+L6WulgFFuk1fRWLhlMe1xGsI+2TurrgtXTaQUPq5FHEadn2cs
EqNXbHvF/QqQYt3G6ibsnXWsjquirHj+tBjIwnFej3lxmATpW2HdYctlrUEDL1rOZ3HqK9Gg7Avd
5F5nvgm1pdHKXaaI08yIpG2qt86VVNiWgrZsPCFH0ymmsvz9sKVltMj+pvgRKf4p3vOxQ0RZwuVi
SNDgZy++GJqmwc+jnNUcj2i6KNMbBa/V31+Efe4PsyL3fy4CXUU1oGYZ+ieTNvZm1cZhrpxHeEj4
LLvnsaTOZJnTcfD3V/rVhlcmZf+8kvxNfphKlUE5aXPAlXT3KjI5LjkoTzOCyEPSvcSl/V1c/b8N
R31/YXybmKlyGMRa/PPlaPvr3CArw0uvvIjuUIdvRfb2z18Ru2U2y1zGwJX08yUCABGqN1XRpTdJ
eG065PIswiMXbuKZc5+4+vvL/eJ+MKFsMCTkltDpHfv5ctJqrE+qiC9xAQTUQLKjfDv9zWv6FMeS
b9tPF/kUSGkDRTCg5iIJ0zTRHBMvWv7/vQz5Mn+4D3oxMwJh+HrBWm0D/U3LO+oXf3ORnyPTH7f1
Ty/j00dTpVNa9XkbX0bFWABN9uILPec84J4thnvtWe/a31zxV58OFn80aSw/lv2ZY5nGLoWdiRZf
nPqa6l6frk0n+PbP3zroPjad1twH2mfQdWAZiu32TXIBqrLKbfqcSn/I7v/+Ir966wx0dabHmoH0
/unzKYfIceJ4TPh8ngv7GHFSxC6x8ILbpDuYeK6H4Prvryjvqf8o6d8/rB+v+OnDQu5CCtImogwj
oNn2kTK+3zwMPkUAcQsycHdMdC4G4jbf108Pn7Y0KYIZtfySHJud2LF4nuANrazr6Mbyi1W8/n28
7Fc3xI+v6tMlCanko6j65NLb8IOZPeq4cfRy+//y3jHoV1k5Lfsz/8KeKUcXQJIvQe35Oq51V/zm
vZPv/udPh4gRd5sHF8L5fGNXrR4T5EGMdzj6Tq7ObvMlNrE+JclvXsuv3rEfr/TpAceJuGwYaSYX
zXqP3GsruK3n3zzefn0Jytg1jz4S6pl+fvjEWtq75hyml6I4W1jJxljH0WX/Zqn71VeIm+2vq3z6
6IHfRWIKuUqcvmUKnHRlhaZopZ2fiouSbjLrN5/Rf70sOqHwwpjYb6lNwRnz88vSvcCpcqfMLqLf
1M3LYK/q+eYf3mifLsGY7cfHdtGHvKFRnV2GucAHEi6nxPrN2/Zfz4GPS8hYmsqGhznbz5dIxjFX
Mk5alzZ7U+YdIsFvLvBftzIXQH3DCWgxeAOb/PMFeHSC3CqIfrPPyzuyZckupumj8N4/3qt/p7Iy
Qvt3U9nm7f3rL6RTfuqvkSzTVYvpqvWfGvC/pFPtDwzUtgmpyOGp9cNI1qBeiJ2w43oe9D+PL+9/
tFNCi6ZqOMidBhqKtIL9A+2UpCO3wH+edh/aqWOzY8SPxZ7R/LzpNhSdWUidpmdNxQ2590RcqX7c
56ZCEAkrM8suap6Pk6m+1px02VHKAyN7S1gXp8emkGk1OYIS7gNTnWpRxf2dZpjNQR1Bhj4FMsBi
C8o1Jzaufv6RbpFUQ1rNtpVugegnA1Om03lUsp79iv4acCP7tHodKnIzhT2CmidJM5KoqWS0pnPH
B1KGX+3KuamMkj/AmKttOFrrvnPLrdl614KkTl9igcqTnBmSjPFUg0jvA5I9imkgzqkThSKjdnZJ
/wx5AoZeBoJCGQ0aG3fb25i18nTYBrb+bMoY0VBO3aqX0aKS7P6KzUSyrYyceprGcRGhApJCdfTU
pbVYFlaVbsIU7WOWKogh9ZDuQxoZpEoC45gjcP0hnuhSRxmlohJFKgZ0qbK0Um+hHDe8caQGY0s1
ppS6TCsVmlhqNaGGajMh39RSx4mkolNIbceuYds3Uu+JPqSfXqpAOnJQIHUhfKwEdCLkOLxfDEw/
BKREakmBVJXcqpG8Tm9qQ36Hoo73pqPY2g7Hr5Ku9SFd9JOTal+02jCXHeAmp06SU9R3MH1dsqfS
3kVV5wL62Vq18muTysrBH6eSDtsmfSfo+ohv+liqJCBzZ9hkBJx8x7JOjaeccHJxI+Xx0qpw9kXF
vtKbZ11Jj8mAD7zW8zsjjIaViNw3kxyRHjpXRT4S2YqEkxILnXD6GEZvUL9qRcl80iwVT3U6rNIq
Ic5j9gFT7WjX5ZL0GzB1GG3dXeVz+DaPPHYDFfJL5TEhLaW+aeFmZ9xrvTF5bqS4mvoUCLZLIxpX
nSaWjrTUj2KEUI3DPO4Bwk4EJxaUCF8Je8iXrmqREQPQR/YnJOPH/5lI3ZRRi8MByk9VGQy2PNLl
s9lvpigGSzCqWCsHvOgNgcqpoqZHVcXBjsfeZwqrA8fC2qfi8bOl2S/A9Tc4OO09aQQMitah4ptt
q7QJogB5hGyd9zwIv2KDy3y+Xb6Q5sJEugyl3XDqGYZLA2InrYilNCUysPAwXTPml4bFQm0Evcj4
y7AYMhAm3pc4ZbovpLPx3/Xju4mGLd3frB80t7Cf+y/nDT/05/LxUdIJop1lwiIJZPGfflg+QLfC
QNXN78LdfxQ9jWZPB7C9RTeQNAD/tXp81HdiMKb6G1VJV+Eh/IPVw5R7oJ8WD/j4rmN7moYBmbI7
1r0f90h1WZuCQGp0qTsm39v6owrTcs4aHYvc7uFHT2b6vTSzq6gyJMQt2zQnmjaaNdkmTdwOkKC9
b1jpt/RKGsErHU0JoLqhyJQDamUb7DXEFW0VzoSLLmZaxDmathlVva+B/WRPO1tzBky49QLZ7Fg4
IJv7ySZgy1PNY6BPp70D6qKJ62jrkD0lhJBYysIY6T7b1mHjJX4hbe92PWTNOSQey6jBmAZnFbpE
ZDEY4mqcRae8WzG2uH9v/Y9bX56b/vdb//b1DWmGO/9Xnvgft08asjUxOuk+I2ensn354f6HLS6/
Av9TV//X/W8gWxs2CEPd4G+6Jevl/2Q+uH+oFNhiTGD452GY/0cltcjqn78BjgPzgd+OIzc2t887
bCPpixZ9ZsCW6Uo2aAyQugc4XVECnzujWLN2tgaKntk/D0l+qCgG31Aj4UD/jmM/mKhnCwpXQ9q2
V4pkdeYTYFJbjZWDKuZXK9BnoLbifbDrFr0N8bEii0N6xT5ROYVk3Bv1uhr7+srW6CsnwyNYJwdc
2mRg3X0u9L3ZaN/ScXoYSP84ZkoxOgkdTd96MVlyL+HrFMvIUJJhCMfpBAJFNXGjyeiyScYoccz7
wVZe0l55H2QISbIr/HGYSCaX+VcaHFDwVeVKqH1HmpwY05AOxaL3YI3JiBPDIw0+OMG/Xgaguql8
iGQiimSUXUIqdj7CUjI2FVJCHZ7CeIdOeINB+2QQr5oxtU7FhfDjsGQfAW7cXs+UBuRkkgOyWVFh
3fUyrKUm36bQrCj00q9d5HSYBBAv+7C9LxWBaiVDX10WZWAssnFRe0a9bMiG5aEApS7jYq0MjhlZ
1KxUGSabSwLruQyYtUHirRRht0uT9Fkawb7PFYg9nZJIRLO+HPWMAvfJxGQUQ9OwSmTVRoba6NDt
/dTVqv2sNDcltIKFKUNwnUzDqVq8bAxSOSBlrW0XeFP6UISKE570ds4fk9ailjJDNOTt62d/NOyB
5HM8YGl2v7UelUQRPmzRpL6R4446iUC03kuDRvE1z0pHAdqceVtwkLDXW1s7Oyq84JZIuh/qU7Gu
zKE85bMe37sY2Rt8EVvg5y9pPOa+RUPZeTATnXqCjlr6yb3zimFn5CgxdDhuMqo4thiD7pUu0PDw
DQYI2LnY9APb1tzEIuy0enFuC4KX7DEANfenMZpIRFDp4VemU/pJnY2XYirbldsN1R0BrS8t88aD
k+q9T9D0vdIiNByTcvnY00hPloFYqDzuc8UCLOuJbttQdrnVGzu7re06Qx53irtUx8VdaXFEmrW6
K12xFMKGftrNyKyxRcEzZ5EuUBJp9SyxeEznAeuArxh0luQporYVY2sXtuYS8KcRVEzq6xhUfh0N
D+T6KowL6oTzD0ZFaHrTQh9NZaco3vCSJgN5mLkOlrEris1YlelbaljtNutAd0P2p004Grf9LMgl
CAKsy2auAuRDqt0HQwuONIu4J7efrlpOi6A/FAAUZcw3M+/BJanuuBQUYpwUd8bWoqXYEYHDr/5d
j75vxXh0/+/r0an8pbeKn/lrJ+b8gVzEg578E8NHibr8cyVik2aTr1KRCm1blUGrv0zQrERUPLE+
wCYiLS6RdX+uRATFqRhywcsT9eLH/pkJ2mMn+PNezMVobePTMh3AA3i1f96LtTPjxM7qKP4wiKHU
jA4qlHQ3qs2lMob9jOc+AMy8UHQ7ypauCJwSc1AOJ6OLkw8zhJqd3C5Wc6TvkGuEgKUnxUTa7jjK
rQip6liK5sHi6TkITAKPQwc1ZTmroQk0KHUUr9q1LDbVwuste7zuEgeSRKSU4dqxGsXvxuJRV7E8
4EHbCmljbltWhbpX+wWUEzorQqVdBx2FQoV+agqbLl2yXsGk3hQT5zBNIyBTBhVcnvxQ1MFRG8YH
SJq4XB0svFWVb7pqh+0VJTzkFBPbSeynjgB0MzqcXlxUzy4gr9OP8yPc8ovGigUSx1goXQv5fERr
ZZIObz1396xjX3V5xIu7/kngyIGonx3yWLXwQ0yXtiym9WD39DR2PFADYpa+4czjMhUo3+pUzKvJ
QsB1VX2l0vizTAjuAyzqvyrmeAD0AUgCb5WfB9rXkSeF31l0Cqj1FrA76S8tOyauXvlx0zx0Fstt
Ug9H+gg6MnWc22aA7ETr17XTwYxLAz9XoE0FTVDtmPuHi9EsrxK9vKEt3WdSeqBnxo9Gxhw9hlyN
jDTFMV/MqcKfDVhdGLjVsnSZRYRg+ircm0FOcMoFfBHMhDDEmODjLtO1OzkgjwxxIvWkrdNMlohS
qquF4WOHqRxlywO2MdEQQvjmwvaajhMPQHot9n3XJ4BQmseQsqfFDMJzmrRbEY4re2Tuk4zaNi2S
m7Doj7FlLFPaNha2PRNWt2ARVKYSbJs0iHx19C6crZ2VWxvvZaa1W414A6VIJfn5QmwiAwuzkd4j
HTzkSU3nR31WogqDhZdS/JOx13ezBNQTcWzHpTEGXIhqPKsV9AKH4Us/ZLdjau2A1kwLosDMNFzk
tAlmJze6HoHWxvFieLO6jYbhseB8tkx08TgGw4NmtndmyxgkbOZNEXlnVnCit5jALPFldPB+gJka
iKanJAxTbVm6hCEN0d0GCZm1MtE6nB7hLmzNcFuL+qaz52c8RC+1hYd+JK7FZi2W9TOm5ptqd9/H
OGy01IyXpR3tFaXcq473WuD8X6hhDaO51G7ZfK3jxryrWnWjGOVlUAknj7Fxa0IwW7qRCsFoVK7C
yDzFTqX4RkoYPM5wFDrFptCm1zycx206hduubwBiRq7nFwquZGZf5VqI4jkpZLRaNlFn4+wePHWC
iKVhQ1Dn5hiTts8H0m6BnpkretFt2sOGddZOZ0KROIYIKZVNfYXP/x53TLRvciNb2dr4nsbeTUJh
zsI2WCO1bCSQOE/fhh5bft/TsxuEuumjEZFEaGWRsEOhRkAAmr5Mbh0mqItUU8B0VcQV66m0fILu
2zQcX+1IQPCzi4Kst4fXuj5pivme4utalmMG/1FSjixwRzPYowb8UVjG22kun4sPLhKAJEeSkiqQ
SapkJ7mjAkCtI4Mx6uYuFDSSzJK1pOnJSQO+NAFhIuJ3cDxs301wyLNkF4n6Nojqb0LSm2CPHSdw
TjbtPZXkOxkTszwVqwp13Dz3GsmB6gFCOZIMlYCIKiQryhmgRmVtsLAkR2qQRKm4Hx48yZjqSoXv
tOROFXH6PEoS1QiSKpVsqtw1SqCzOrgwwFX68D5IjpUjiVbFZB4iO38eJ95RzcP7MwidGujyoaEh
1Dda5UE30arYMuMCc7DWGBiM2vLN082XuVG/9Ro3A9b7u6rhA6O50lhamWh5RBT1us6dSw+RLjQC
jYnSoNDI3l/ho4OnYWO7jc5zbiIbmbLEs1f0xQylzWFxX0auuuvKFHMfkPadOVi3ehU8RQ7Nv00W
v+cD7qPAHEgpINZs27S/p4li9vErULYxNj0mrX93Sd93ScyK/naXJN5pIv/FzIqf+3OnBFIHEzp6
I/qp3Cj9sFPSmUw5Uu8ikmt9j7j/kGMnro49jdX/h4mVYf1BgbCHPi+DYkiM/8iGzmTg8zYJIhPH
GPJnBuoho7Cft0l5lZn4clz7Kjfmfl2pgbmk+uDZYUxbOt0jEKn7dL4OJgLAtbbSa/e6E+E9KeHU
x61rcHZJIUpMJ4IoofJmDOl9TikUZQdNsqFJ8IstcI9PQ7ir8mSrhgUPiq7E2N4EfgTGwddV7UUp
+uqLJoqYnttsWPGYCyAVJgDJGnsbhM2+GLDVJEb0mOM1LCbvecaPmFVuAy+nfp2S9NqLjFcSvU9j
P+m+LcYTBKnSn6KUbEedHLqOQzlByf5xUt2XGEbWoagoItEGi1lWldynXfaiTs5MoBlTaUu7NkSe
7VzrL32bX3kFBHTbuSVun3KGrj16e61kuO+i+NmNle2glo9to4R7R6+WXmv6edFfaQnMVnjQ4xRf
yQRUPXG4ZyT3tSTjwu4ReJ09XHky7FPG+s4s1zj16c7DzKrfyhpePLsifSakzsOvIqPczlK86ZeZ
idNSWA1j80THTWiStrXaFpXGkwUlFB4FytHOy2FbCqenjbdbDWWC55deFhXFyIQ76fdZtq3L7GuD
141jVMswvlE3jT1HHHa7C2HgrZqwPKlAYzZRgWs3xtieFVwvw2xqhTPiVPMFbEZM/zg2EXdelrj0
4IV4kn54xE9IxYp3lVfm0k4sdqpTQo1kRGW6s3SsGRqoiQc4Uy3y2DJGFDI38u2h1xZZSjl45rRU
ecQi91mIudliD8N4DjlOOK94xXdAIMW6a7HcqmhGJB2uBwfmgQP8wAaCMEkaglknN4XkI0R8ckpl
3FuAE2pJUMAZ4B5rRdtlbnmqgCz0wBYioAuVpC9oksMwSyJDKdkMk6Q0pOAaeslt6AE4dDHj3BkN
0Y+BO1AeavhpP26Z35ZryjWJ1k8MJ9JyZ+hU65DO+8bncShJ65pQAVISkMxJMCOzn6p6cgQTCd+E
pC+FoQdB8reUEWAiC/ugFUcKjna6DAlnpIVdUsNJG+68KITySZzYJlc8kC+uOuUeF91OLcp9R/64
tO1dqoZnwlovBflkO615U+fhaJJc5qh/6mSUGSvudZb3mzGIj2YHVYXMc+WVO036FSaTcXC0D02c
2M1kHCrS0gOpaVXGpzuaOoNQPA0yWN2aM9sqca5k5JoyrT3YqBsrrg4EzLdUZHS8QmLaCXltk9x2
WDl4rHvyFwS6SXTctmX7yJJ4CMbk1JH8jsLppqBHEGRC9Jhm0RovwGNIVtwKy21uxy45/2Jjyzh5
7IiTIQPmnDfR2MIdp8zrXEbQYTJBrWp2gLaewPBkvqtm2dIjt04T57GTSKFZRtoxBDwxGt86HWs1
0xJ9nDmcuQXjNvtlJhU/KChtpOQz0vJF021bmZ5vww7qKmcPsm4xh2COdh9pe10G77OPDL4r4/iT
DOYDFp1XDGYOHpl9goS7UYb4FdL8URSdTdL9gYz547k9DTL4H0sCgEQBKE1GQZq3qUvvqpGwAJdm
wFziA2I4ArHWHUe4AgYEAXDet7P8CMkmf6kgEJRtuDIY3Wih8jhCKDAggakpvELbAS4Kw0CXMINY
Yg1M+Aa1BB00mrUuJPqgdvOXChbC5HH8FdARUigJacHMkcnZg2Or+xqOQgRPwWqV656kra+bdxQr
ULY+f0ky53aWIIZCIhlU2AxVXpwUCWsIajproTdolb1xoDmYEuuQCNtcDQ2oB4ni0vXwPZUQCOxt
6mGCC0GqGqKBRt2aCjPCqYFHcFNU5I3Z29uhum0hTLSQJmqO+hPkiQACRSFRFCOjPEoQN7zmu3DK
HkUdAdY2L6ns8ARmoSf2xGNl3FhmyeArvIsl98K1+60CCEPM7q4BjDFnGgQEj7dGOys15IwIH33f
6bepZGqoiMPUkUlBWBuuK8M+tR8IDuRJcBzMuuIH6wPSgWH0oBdEXnJJ8Ihqe5HXZHpit+fbyYyC
8NbCbnhJiKdbNowbJyw8Cggtl9xJX6xmJa4Xeg8eLuyJoPZd/qWH9QlZLGFmOhPtIWW+rGjwHIkY
WaXYBhEIzTETLDG91++pEcqJzE7fioZ5K9/iRToVjEuTRlugq7orK8se+xLImDrZEltF5JJCNUdZ
5IlNIXweHnFHVOei1sRTojmEiK25UfAgDNZ1OxTw89wZ3XfITBfSFsBMjAZUH82aciQVtmeKetHd
dG2OycrR54e8Dm7Cujl0tU6izSh8PXPp99LqpwCWjLSFrxqtpUUrHTcdXW+gUsSXPul8LXWfQdCc
+oGIEtHRnIo1+ptxxbZ35BOmpetErzxZH1Sj2ZKpO6vW+B4kxgGgKXIw0DdupNJvFeOpmq2DE+en
IM4Mdsg5c3+s8RW+/o4lGq2MWEUTnBMGHVla3ohWjrHzeVeF9tEa463WzIswrXb09S6sUk2XsQNO
y06Ma2/Ib8XIglFO0zIvirsiGwpGE+mBQ+dOVZWTx8mVrRBslXonAtp702gXOvUhrMSjbRoHaIT7
xmClNdx16lZvHIxXSB7XY8BOYSJmMQfRquE0bNXiPY+8o1LAuuOmG8fu0HnZm22o4aL1il2pxjeN
nqxsHTyYyXzLyEG/juptK0FeolAUHz4OnN5wNROJD3rC8gF1Vp3XrkWibfNOf8I552eJNq7h1jHc
YRobcD/GRVbzdE+fMrouoKdCB8Fp4qVMprsw2ylV8uB5wcZw54vaU6iVCu1uGrCBJNVjyRyQk7OO
oN7HX4Om7P0R1iC2BuNqsNSrIDReRlXQ25tUdP05m8SLd16seuswDA59Or9Xk3UlKnqweb6Lo61z
s4TlYDFZYsIVTZW2CibbPZdauS9M5gkZ2mUk1OvMVI6g1yTd1li3Lfm6wIpI67d47aPJfrYGQmwe
TxoiCeNxHF2SREP5CI/vulLsZ11PgnUV108q6RDwOt06bfuM/ACv2g20rScfPTV5J1oho23YZImP
CeZUYahIQ2U+02l8qLSwXupkkZZ1k3NSpLmsnmryzfzblE5LrafSMB4rxIV8x8wAzrHojnMjV23L
fBo1vmgJdoplMxILqifzSkvjKzLnPkWz4EWiuT1WRE0ALxg0hWXhfmiCa6/NnokPmlv5dbfR5ogU
sppjWTSe3Yg0fmVeM0eMj55RwBSsdmGl3umAgefSUskvdQwyyqWap8c6RLdxzAYqQP4NqxFSjqFz
mHXvUlHuY074KePAPhvGVauLp0mrb7yxBo5VOVeJFl7loAwyx5wOxZg81Jn3bI7GDXb+8mAZSQFe
2KYUUJjPc+7tvFZT/ESNmcH0/MFKra1LCDek2s1+m2Rk0luiq2DGzVw1bkct0TlGNA3TWjebTJ1R
nGErK12Lg/mfl8sAFbOpn2ONJzGsfjpA6bGqjrpexOekwklYnNp5XHjm7Q/Hyst3C8GPUZCfXWmy
TkRehG5aREvyR5+H2WkwNobyf9g7s+W4jWQNv8p5ASgKQBWWW/TOZrO5S9QNghRJ7PuOpz8fpNFY
0sjj8Dm3vnCELbnZbDSQlfnnvzRNRIjvQctPQgs9Td63w/1/fxsm0R8w83+9jQ21QqICWCz7fx4G
fSFcpgBB4268D8WDZv6FouU3Px/kH4tYuVBV1a/XqnEnqyisLD3nAzfa3vGf//bvb8Pv5ApxoRah
9s+/f2AvAK2qsrPD3KGulfsXWTULP/QPfsd/Xp9fvmtpJTrwPdcHV2ctWyU4Q9hrCd7+lsbr//5R
fvNWJBpaC19VQex2f/kqUge8cJiL5EwSJfKiVnhE0gZyxTGMM/t/f6/l1/7lY/30tYBd/EhbYe+a
9baVpufSXIG/Keaudk1Nnfrtf3+j332oH7//Xz5UbscuqpxvbwQqnuMsGW45R5ajuPyLe235pX/9
UBBxMLTmdCQEY+Fo/yAzMVVuFBy8LF3NrZ8+9+NG+V/++8f53e38w1v8ervNjaJXglh3zp3n2H+S
2v/hdnZhc0Ndgn8PZfbnj8BGWLVSY28cUwEBcNPp/1C82JAJayHPGqa10Ht/vEi5ltPfW3pxnu3n
wb7qlo1P+xe163dfOjcx5Cu5ZJUsJgw/vgfpCmVOnmx2RrCJdHzZuKgbjE4LVmXmX9zJv3kvR/Ax
DB0aCuqVX65YiD2e6cYqP4fLTL2JFu36xq7A1HfG7dcv/x+O9/Kk/DnkeZ0+f3mrfwN48qofAE8c
NODCfAM1fyEpUdEkDD1OGQ4AvsDvgCeeWmjall0ybGFOU4rD99XwsjXWOZSWL5ZVPwHwf4OlB62J
O+6P0gDHewnTRBK4ULyNReb08x3ZT0MvW2kP53bs6Zba5GPRT7d20WPt7wbnTK/iL8Ss5OQ3mPfs
CuJVb2r+HS3luxaKLbCsBOknuDrAyB4vHMYzmzmMyNSXOkB5P6Y2TlRdfitxbdsJIhV2Q++fCKnJ
12Fpv3RmdGf188eQZ4+Rh/2EUcrVWIQZZtnlhVk20J7sZfHh5ts5Ne54r/XQYnFXsxVgtzKRCOsA
TGFwfmoT94HTEBgjCV7jxjlJujwhx3MYNPvCZvuMVv3GCIXYEhfEalH216MBBLCIQT3bGAdE+cmK
9ZE3z9XKhLp4wDAl8gaMknVcRLZuCyklAY3YdJB6N2bi7yyWnXglZu7eL+V9Td5yP7nrzjQ3HZs1
D3+hiFSS6TDrsVy1eegAxsyPyn3FW2pdG+OpaeBe9e2nTszRqozxq5Am3v/d5INo9TCt1Di99QJT
Vd3e2qaG84UIHwOdZRJJCeArDB00ylBY5n1s2Lh52Fe2xDisqB8LTb0A+B4h5zJRzWsLV4mq0Q+d
n9wYE+BcoKxbhyvkY7DpaQUZB2l6VUv31orESzLOwkPXqXsQkhaQc3jIDPkU01IYpT2sGMTltux0
xISjfcRb6J54nhyrRfEY9XHqDTk5I6b/UI71FZjcMagTuMdpSqJR+HnstfsSu/kxHG9biFvC0j7B
mvrCHlZ5Sk39qi5xbJoXWMFoqnd7mu5ER+5CJd0TX9PlENuMC5AA5DtwyMY3+DhDN29Lu2jWhiR4
CNzcihfj6cDezTEh93VefDZz6wlS1LQiuuFZdgP3lw4cmAWQf/q2uNT79NXnjnRrfJ+lgfFBal10
1rQvrPa11yByGaG5hCrvgoiAltmvIAsMLdtWAm9s1w29GrPmtRZi8TGZzsIbSB7jlos051ggqRA/
FJkZt61Vbtwywwshq90NovXywkf7fWV0xePYPKXVweSZeyJjGbgYBUIYMG2TM8MydApvpqF2D34C
xFjYzYgBIlCK6AaJGkMnLK8LAQC08h1kvnUBKqoWJn/ox9OmzZJqfuhVAeNB9aPT4JLgJ/Iu902g
ZUbAx0jGxUbq3R26SNLpJ4nDhsT6cQBud3C2x4xlBz+gWWu646yRZqcXDFH2JkP9D8ZhPhW9ipEz
87ilIbc0wT2WF441wfQYW2hRtg4cd7xzytHyCiC/MZxfIRJ4GNQ46yiqtmLo1jjCIoke2UvklhOu
2XUzINlXo5RLqgcSe+djpPJt6ChMTx1A0ZY0aQeHHACPdCyu06jblr1GbovWADaD6Wt9eyHDPLhK
k/EhkdYdV1ffVa68auL6eqy6Bzdx97Up81XgDy+NJR+LwvyUCRudBLYKcUqUUlXN8wLAPqpwIZzM
WbgCZ7oa/N718gEDgiRML8WAfR4aHhbzKKqqVj0xJ5PPUCF9M5P3aa4eyth+LKvolNbypYYluhKZ
fbZa98LqCgH/MzQ9sxoAIdpAWwlffxFjfOsY+SVfHmbjMYz7NrEfsr4feELMdqUGJ9wwZa+tWZPw
Kl1YzUm1LloepolHz575nKFxaIDLvChsbyGdHDpDv8Bw9ojG4xKjJcwHXJtlEnkqnt8TLmVGGfIU
GwWHzPSZcID2TQuJ8CnciqD7zo0g1oir3HfJX067aW+A0eA++6xN2WWYzA/aRF6MPk5fCDCL7ybE
Mqt6AFRvZA6XlRW1HVRfBoYIsF2B7X6WP0SOdYST8SWaCZ3AniW7H/N6r+XGA0402cov+TZS2ycQ
Cwdix3coG8PBzkp/7Vvdvow5HcqWnfMgvSZLudeAQwfFuiDAVLEWOs7mIg1ygELQnOYrK9L4ypD8
pyP6tgSmFfnzjujquaSv/w/RAq/5dz9kfBDM7ozUyKklyu0/qHI4lKHmNhj0dLGI+umivvdDzgdE
DobJ2gJzaCT/vOqPfohuyOVvzEVKt3RRf6cfWvqxX/shZL1ykdbBvsPs9Od+qK6aTKremM/l0nno
gC5e7aKdKdX0oMfVzl9URtTTtV92L6LzcUYcA0+M8tgoP4W7oz24fbUWajqpGZMNheUQgavQU4Po
bBFZNvnONXegvmJhYWwq7GyS0T0NprossmLnBO6+iw0gVsw9HYvNch3ksddaw52lim6LT+CbZuVH
zNxwC+hlcLKthNpGnIPnVGozGdAvMILcZWZ0EGqAUGs4j3ZpXgOFnhUSPq+r8x4jlj59TKxp54+J
CXzq3qRxcBcAmOUK8s+kcAYL0kIgx5BvQxHEp3nuyue85X0m1e+gLC85CcEKFdgeGFdsg1FnCZYO
IeuhSLS4EJUXnQiSjVHC+O5oQNdJWK2iVG3dKn0JumjdTvzqZd/suqrGaaSQ8Q6v4nFri3BbDMke
g9bNGLQuHUu4rmWqH4ypOJoijS50ggN9tt8rZykcfsKONSmgrgzWXaVH1nZy6nbFLp1P4dbyTDz0
IR8guBSzi2Nmo9IDC8srKzGh7Obtqmn9z03g3MfQ7A+RZu7l5L+B21CmMItxXIs6wlGKZB0HU03K
fRH6RNgmmbhnO4zXz6gOoNrjWgblLRq9PV5l9ipUNMDB3FSrImp8NLy9wGkyib0ydrcRAOlmDqNp
U/kwi1SQfKl1IOu+wpq91Wbj1q2Iz5lVsgkVQVVESIZrDcHith/oKBiAjQxTMz8n7EdTBGOIYTVo
TnIoHbUel/6vZ/TwQOviXVuotNrXTVDQuZMteKFb4WugFeXG8RP3Yi5DnDrT+lBXwT0LbDhirbGX
Wtmu6Mo3TdipTe8AgfZ5ccydeulY3wvqsifnATFn/6lsWJhByXvsjIpESdM1V71ffuqhzW/sZr7s
8vEyy4Rc1U5M+pxD/GMR7NpBnaCk8Uhoj+2go5EYlg4WLNcK5NmmwyLJYqsiyIm4xhH5kjS72DYu
UwsXP+G2n6FIn3uRPLgjvIAM99bAqODpkTq2ivUq2tRx0WyjMH92RXIKOUnHNAg3xCicctjvLZDF
arC118iPHkisIw1ZC4gaNsSrGZWP5BmsNYxQvRpfxee+VhtN156YljAGa52TOUJn0icrubES+bkt
8XjS7Vd7bo4sI65mHW4Y6S9eU6jzWBTGKa+zXSrY+JW2dTTphsjDETBuw9s+EJ2XRNNnw75PtI2c
nGMZEY3TxwQHhVG9ykvtPuptnSM/vcHWUIO+V9NTcIhbnQ/nbr4OSR1YWSYm5QOplVG80TRrPy8e
h63P8l/U+PNAXqMhc0/0qJidJWfEUqtO8q0buBf19hjskmz+7Fp9u22zemUh2lIo/1ItDuj0q8tu
mA9uGb1gbCc8X9fXxMW4iHrjuzZVL26N/APtAsNXZT8GGmGNeubzEBdE65hhiwaWWui5czrumtyY
sm+OMP9gEMsR9Ocn7hJmto7egt9ppXjh92NXtz4IRxfOv85I/YdjV7c/KBeuObtwpIQo9f44ds0P
AATwxVExfY8W+X7sGh8UZCxoXPDW8ROB1/43jl24Vb8cuwuzi/PdNG0JwId7w8/HbhTHYROymz2B
A3NbKrTSASI9SyUXWYSntLHS+9mucVIWpcHePp/mu475OaChvzRhkz8n4ZIOyjMsqs+xner69aA3
HMBxP5Wkuva5e86Kdr4IzC6NDmz4jXso/Zo66I0gU8h1tfac+aZ/kUyWIPgzSWL9LrLdVB7nYE6b
LwROWcOpNstaEYVD+hg22G+Qu6HY5lGHb6kEhtiJmJLlVk7U37bV1B5kaqDMJWwzoX8WU/d5ljZe
zXYViqNBWOWxrqoY3iy0rk04utWqrup204kpOqp2wpPan0vs/LG7e+4aiMPMBj7jhS3hKyR52F2H
hnoG2v3MpvVLbMGXAEHNVqWl3so2e7PcAg/BPqvkKyQkWB/slatgOOSzUNs20Tr8MQLL6w2B4mxI
Op3DbqDfAOH4qGvoS9xk8L+MESSAxsyNQ6j54SWW6qAzeg3MUHXjYS7LakfTVKxq9Cto4/NxpRxC
wcYaoo4L2sOXW66t1sGerfHRF2RHp3PxnPFr+0RyzHxIJGTryGB3J91wZ0dV5tWBQUTW5MSrounI
HcqTdem4xMqF2s7p532qk3sQR9aOOCroI02WMMdCQ8bd7ZPE5G6dDHPvERW9K3SX/StxwG1YD1eJ
ObaYNKIfctPFRhuwdhNrpXGmV0nucIM3b3PLyt9iIeuLrIryj5CqmV2jCqvAPj7+Myd8mxNYrPx5
1bp6659ffzcp8KrvJQuqKD8JRB7tpPmtLn0X1UAVNRwhsP5CpCntxWzs+6TgflCGhSgU4JugbV7+
x6Tg8vPUVzMLB7Pjv0cWpTD9UrEATlkLUjlRy/CGv5JFfeScpvKj6Rzl1+bEsGqQuuONrfswzsbg
iclgTmdgd+b0Fm0Y4YmptrIRR3hDmNJyR2CDNgN/kyz5HWx9Rs16ccPklHbuI+jjgznk77j6basF
O4hw60rLjOC/xqIWUgGEkV1iIoh94YI9JDMsAVHhYskaDTJl8shjPW9NNowk21YrgxnEKwz1KUk5
nKf5RfMdCJIAHgPAB4DmdQ0QErGvB6N17jIgkqIYgysf0ASdYulNwCi6A91kzAncAWAxp3kdA7hU
TnfoAGBAqn08TvNtHmofOyAaTFg9PKiuWN9tZxmy4rJtn5SaBlwHgAe5wrZyMEwm8sfTpf6KQOTc
JLoFjllNd7OWYZ7gmyu9bFZzBVSkYuLciBpHOw6OtnE19ZTNibGxBt/GRkGkRL5EaAop+6ia/B3C
n3jtLKAVLitrFxiLLOXZMwG2LIxN4XaoRzj6VbIKUEFAcOgYNbzuKzA2WjBMH/RhYEWOkXIVrmGV
iHBDTlVfw2INYprkMEjl2gcD8qo+uoQntUmaaSfScT8PvbXpcH314iDYIZntVzY4IbwK/UHaqNMz
W76VsTqlAvgNFzhOBWZMq+HGCf3uoc3zzxGmqb7CPhn5qJLNYeq641gTH27F+b4whLYJk1Kh2OlP
riDiNoGUiFHIx0laF1kJlJep6bnSVfUgM8xOM8lc0gNkD6A+426MYx89kY++KfL3WKgVq6Ayj6Aq
OsmGeIVOGhreOXMetR4TXavStoNrYL3do8xCz+H4w2F2FXFKRWlh65GTJwHYRujDLiJz1BM2/iyG
vzU7jCc1jKXqunucYVSlyngvTK4Zbekn4UBh9pMHPEyfggwQLoTHP7YOep/5U1PnGT8+3EOEtFfk
r2/ysb3IOpu7OZ4/9e1Etlj13E7RxlbGEf3LWo/KJysaWnIhoTgmAtJSWqf3NLkPoK69V3bIc4Wd
HLHR3pQLQNnaTxX+J17dWaca1xjScHbCJEIal+SdmHB37rrPygluUfFubT0/4xx5Hkvh8ozNBkIs
VGKVlV/OSX9lmME2yV8TVD4dzIxNM/i7IhqWoHaJokdN15GlsP/w+ZOBHqC1m09z14zkXRnPmU+i
sRIJZ1NDlHjKCoJdxb01M+qMRYpMtrbvCSw54oL6NDvhKXXHG9PQdgyUJFVX7qufiX3mOtxGdnWA
D8cN6C/GuePGj403FS/y516/5zb+ZLe4Ieh+cdVG1k3jmq/uPNWcgsN14UPdyxpdLksQmzznHOzM
ou1wWnhxKhnTazJkbxNiKBZKUXXw+1BsskknOsRyX0a/fU7S6trXa4RvtvLXzSCQoE2VyzCmjqQd
yuvZdHbkkoUg0gssWOb6F38BCgMQw7koLs05eNFBErsFUswWcLFNDDIRg9hryrDBaxgqHgEUb0VJ
TFtHRANhGOXiR10xjhDl6VkLjBkvgKYv68sZhLMF6YxAPEOQz3qBQMVgHiww0RFsFNwRtBy0tGxD
AYsPABXHsjVZdR1MWvmNzfDPoLJMDn9+5J/r5zx4+w04yKu+H/mMInKRxKLA+jVwWXc+cAgog9Pd
YXvO2vPfR775Af2HhZ0J4QZoNxR/9X1KMT8QS2TxDz9WgSka/98pBXIA1n9wfwxWpc4vy9LK0qdo
sIV/ql093JhzmrgYjdDEa2MljrndkKiuLU2+jMML8nefnACLgNKOv5i90mHNAcgRygLJfFOZgt1i
WZWbMY4YsFHeFo9E/RBMSkhDEyw6AHA9GlySaEuzfiZONnprO+Ejuc8VB1JDw51Dqcypj9sQoS7x
tmljuCt2Cv2WxRgu5YgyEYsz9zd+R4poEpUWxvpqXAIP6nfNCUaeafaIKvJhMBsUEUeHd7tIHzUT
kAqHeDiTU4AGuMaBGcpvORcgnQI4cLjRzfky7Nl7mtqlLNKDHoSHEVrZSlk1rv1gdPTuGD8YjQwv
S2ntRKldxzzzt6XvHNsy5DALaEMCKG2XeVPUK0Mbks1kxYhKS41NU9Wdx7Y5a8nokMcrhTdBo6VG
DJsQGTIOCFaroYQ1p/o9Mdu7KBV3oM+ZgmrX5tdalcwnUyIzrMptUFrhJzbZK5s5xG/8DK9igmbM
InwHaYpXLDSDjVE40Dw7ugUzu9MsNWxLh9PBrrAfrwFw0DO6JOZaHpZPBAaTQrk29Dw89wFZSxHh
lZ6JVrcdteLWYuvgkuaDULpmec0IUxqAvpF20mdz2xNMyV6mlA+Nq0MuZrVXU9e2IMORR6O3GtEU
4BFml0/K70CAdQ1U1csJflo1E3qiHx7F62/7/h85dQuq/QcLADIXD9ximQmSScMNAv/z+B2LcBCJ
28RXhghxKUkH4zmcuE4DITP/8j7+p/4tYrY/r3930RuJA/9Z/5ZXfa9/X0ceHcqeA1DzLTr+h5FH
KGgaUB4xw1toH/+uf+4HG4UO0jnMdpfyxA/8Xv/gkUCXWr7aZamxrFT+BkqDL8FPtwlYEDo7G/oS
3CX4JxhF/XybzGaYhUYRibPpsLPzsxkStf65CF7ph0gv4h6mFYLCjxqEbvFyWPqkGkaCRePU8Qxa
NFIpDRXN9Qr/AIDAJPyUY+Fe0XqZuXMql16ssZ/0pc1PadJmmrVW2TCZl/7NCDq4BPk92xFsmFyR
rirY92s4vE8+7R8RNkc1xRv2+c8z4iqdNtGQWrXCfPYiVPnGXTrJZI72TQfCENNk6oG9H5auU+JG
OtKGEjz5MNOWurSnLKvwLqBh1Yb8Y0UDm+gkuUhaWmzptjMtbuQmtscn25Uuo9HggpFHLLtNf4lk
oEVuaZUT8rUYWQiaoYmuGxroiba6GoyRZmWyD6QxMBP68hiLFOuTQduzX5a4xdT+vtOmXSHHg/G1
dbduh7K7Bd2uH1Ka+3Tp8i2sQwLafpGpI45UID9iPMHBJ9IksLWNYlhoexxNRsYHyRgBIIRnHoPF
pL82jBkB48bkKDzflglkdrAqWWaStDJPEJLfzGVacRlbsD/E7XiZZDTpb9tltoE6ZG3EOO1jxh7H
GTYlY1DXcM2CZTIavk1JaMUYmTD14sT07bjYtSpS45H8nMmbZSnaQ+EgsGxtF5q30VL6q0LU9saI
pN9vmsZs3ee0r4ZD3CqjXVsJoQXeaA4TykJgcGT6ZLkFYVWtyoUX0lXQkArzSx7Wlaf50libkE3Q
0RT82yDWw9x8sfxOrtykenegbXmTH6+nHA9Fe1kOByq5tWeSzWzTvtJCw1m16BjRi8JV0MJP6Sif
cmdk6h57ZGZJSIg3mguCLl/jsnk3pvFtbuvJ6+30MWDb6dFQnESP4DlpjGOda9EGRoa5AS6DeWQG
2AUkexnWT06i2i1ZrSnUTOdpagG/ODFjmvnhtXGYCxFMjNw5rYtsu3FWInaDUxogz39K+3UeBBdQ
x1/lCGU1437J0bwk8xEl+y4uyhvMD4EXGepLGZWEqwW7NPQ9kEIY68L66C94puJPHH34GMzVDUlj
q0kSBjM0T7lS7CEmjSAF256jNT9qXIYojBxCDSOG1NO0sKHrGOEsDczFxFXc4uQUHJIwPM5WfjXX
JekF5bvlAqSlsq9xp5iS+hsD9Z9zZSmzf36uXKdd9tz857myvOrHc4UILxTNXymDDi33D+cKZoAs
OwVe+l9N/76fK2R/gcVDvJYopaX+1YP2j3MFX1oD8Mv4niz+N84V017OjT/aj2/nCvaz/BZ06uR+
/nKuyDDIsfeb9LPCVCDZY5ppgCtVySnmPpRzc+OE80d6Nig0bbobAvejFoUYbXHHKu5l109ByLi7
ya2gLS/qG6svdq4Ux468Q4vnweS5mLu9irWngkfFDyAOBWd9eYZYzTorS0HZs3XkCkljDTTA8yuo
ESqTDoiDgKQnnAlJoDS1diuH9mkusv3w9enlMQZvMDfV8mRDwj/Oy7OO99wJCzqCyygDuUZgdlaL
t4gCMczGq7NUjGKpHbD/7rKlmiD1exom7WM9UzLGmYBqx3KI/XGvcmuajppMbpk9lqgj6tRIwaKX
43/0m3e6Q8n/2Hype536SZWLjYizeal82VID8YP5IpJPoA9hY2EUi4OvIufUWsIMfLut12CI1FL1
ta7mockOscTgEK3fUnn1r1U4GmukQHlPtRvzZI+bUAUUpnUesuVyw0gC3incRdvipFtQk+RgGn2t
r6yIjc0UDO0NomadD5bWN31hxnjx4J0PlYdLheOt19S09mEVk0mSY8WSVdanYq4ZfDpcWmUtHdLR
G+IUF1bb6JIT6ru+Qsc4TDf4BUhSiWKxJmJ9RchwceEiEvKgtEUnX4l4TQ56cxGSfLIbawYZFD7k
HVS4UOJYYvo7PeneDbdwdlVYdasq8YO9bmkvfcvXR4xetcFRBIOfih48Qgu/5yR4c7VCcewP2K2V
3KpAp4dUdM2qUHF67ZiQHvQmxxxSA5tyiWndydQkQaZv1A7Tpbds1N0d3jV4VdZaem3PRXDBlYOx
5Q/5s1Ms0dJTJPZku3NtBHYducFkaeptUq912wahwQ/zpZzIvihI7PQaxdq1dbT6OOAqdwyGrt65
IT4BZDeZuxLboQ1fnvT8Rr1HUOw9OYXkGElzt9g4YY83ZyjlXVY2tePIF5HBDYTtyqI7i2wSqBBO
VaXsN/ATdY3fMrfWcY5NEM9ccFGzMN8Pc5K3m5CII7EZTWdke83u+D3FD2nvYBF6U8CxXGPJ0hxb
fxaorkGIazHep5oeIHxPlZdzFGISUD2S6RqsxIylW+EOBfQD1kl986QF1ce0yGEksqLahBnAVp/R
zMTCxqJkih/1vLiOqyb6PLkoSY0wCNG/OljslKjE5u4myhERKws/UPICq4PbWW9h2n9mpN4OgUMK
rau9D3G7OAZFT6RVXmAu8Gm0BiLWG81apVm9FBH3xKU4dIn7XvCcasts1mbOPavX60oPL0pd2V5e
F1e2kF8My/3Yp9q41uvxup3J+Xbqel/MzR1Wew9VaPkb0bLurLoaA+kp8mAiTDvTAHWOc/iFDsE8
AxNf7YS3gcAyyg6Ihu1SszoqMT8D4tKT5cY+KsKLxPbPjjmctBHzwgkiOE8KBjE4IcMijFLCpRCG
v8QOPZ+VtPE+MHvEm7LDgBIO5IVFkIcnraLBkSh7cRtFzRJdjiyuui4G7Q5AfPGXSaKLAOUvkGSA
JfU0OPxK4L6TRmAXfE7L84shuMkQJQETo4bulodnFj5M5+VN21KFm9iP3J3Am+s2Depy7Riop6kw
3a6JLTjIChfMUurTZo7hSuMlllJh7Gk3drT2fhOZqEozuXHnGMOgWr0DT8zrRM4HZNJnBoNjZsaX
5BkskfHC2JkDrkGmKP1tQhLiNrSV2KU+zoQSX+e9YY1qHdMtR2E6o+GMjJ1hLmHDMb9tmPHUGgMk
ijQnZhLgZgkvpUoJ8oV3Q84nVXWv9mEPBayLdWunxTTRcQaPvArIIs4zmD2Uqc77esL/0+os8oM/
b3Vuo/4NBe/rb1DE5YXfux1dfljUNfjnC0lPAdbxvdkBX7TYDNLRAOF9c4z9vjckApUOB6QQ5h+8
hp9BRIkXn4OYBvwRnsLfYhh+jYz5sdeB6WDR6kC2sKzFg/ZXWY6RI5PtTEzsioqx91LDypGMS7qV
JhNr9MjJ2e0MM8GbwEflgMp03uoYotlwgfF4d6iV566oNGrzqB2Uys1Tx0GzHowmP4KWZ3fQ+odz
N8ryMo/a4gtEiuHCyIbkTuoD4ctFjDVKO9pvPiPWvpCOv9XjmrhDu2qLz2gjGNq1HnJuPZSedNNd
YujDek5z9ULctP6umdF8azRW1JE0h8V/PumpJxwQgNKqsDuNDdQCMVYlIe7rWdb59wa9xm1Xaml4
J2KVBA2OXHo1QxwIGSprYF2TEmnngcEbdgIzAa8HDK7DNQWmmJ6J+Otv6lp32KVg3c/SbSaO8cqy
SmZ9FVXxgxbPalnDJbaNG7tV1QivTZyrVE9AC85W5kH2GWgCopq1DUehJhrOactqrS9QquhrVx37
BWUFRgBwzRbsFZdsYFitWiDZKcpNczfpTXyY8Ixw18Usb2e96e29sSC7BRBvG6eUf4sovJPCvebg
fCWBzAsfZKpVPpurkBtzOGVuOuXaNwDvn4qwJA7/eUVY2E+XXdT8z/klasrfcaB+3C64H8CvYAC4
QJz4O4NufS8MEApMyoXJvS3I4RY8lN8LAx5T4BvYTKGe5BD/EV2THzCf4mXwlf/FnPobU9B/YGtE
MmPT6UrWHwi8lujmH6WBtQFyDPM5OKNO98AKIvlXoXMonX6asxbNrmNifA3OC6ufXQkX58f3yPRC
uGU6jVfYxxwgD7lb5NpxvbWz8TSatDpoO6ZmN8Nz2eA4B/lPbx11Z6C4IN0dkc7Jrm23wQHRr05d
rTlAa51pVSfL0kgVlA3WUmtBesXM8lNsinIQJZ7IRKMiPxe7cawwZcNSYzOQjberQ1ltmmKId6YF
ozDvreuYIkCOG4WwK3B8juBfIqOvi1jb5RkS4Lu8nsP3DEhpa34TsDv0xxueqEXY7qb810YvESts
wq/qd0Q1KOHLaqxuWhoCbN7n7azpytPG8JNZ6sdwDGG7pvg+JDjRmH21Q/17OXSW7tmtdtWF/aNK
zPvKbe5qbEnwoHy0VJZDza5A9iJ5WdVyE8jqEvsX9h9BcmDzGa2D0ToOlEVs7B2vDwoW56PAPwoB
TzFd1Eo8lXGMNU5q4ypVVOcaP9I9wRKX3SheQiuZ0ECg1JI+qRtOqtOnFmRmuu5mKsCEIFizLZXY
WbbjqHaMzvOxmspj72u7MUvIWo+CXZaqek3+CQTkEpp5dMqgNm18EzupICx381wf/Dq6DfEU3cW5
ytekxh7qGbPUAH1Y3ow1eZLZXVG3x9CkodEmYX2Z+qTBAioYVsKwtmPJrTrq0Ubife1pMISRAB3G
sjoNEgMzHSDIS9gicLji8BnE6k7JqcBUUuIblLNzRTnClOpLlt5Te6qsXmMXhEkRjuS7IhVv0upe
2eY4OPlZ2dF0iUTywkRFN2XuZGssXyOF/QkMF1vXLlwIezsIx18SLTzMFqbjuv3QwhYD6rI8hwW3
nzirztQvoTXc9Dk7ZDyscV3cLIYKmQXhfEiNnYOtIenOXHiV2/tG9B/1ZQdfqmARd33m5DkVAhOZ
qB4vVCquZ35or+enjM37LHVGW+3ZaGDpa+MBl/BL09f2rv04+p8LZ77ALcXZKoK9a1s9VJCB6B1f
esgAXeu0R4mVhDKm68CP9ZVpJLTTifsEF+DJZCPAgaxfuhJob5Bn8gpInw5X4UwHr+Zqi5nuvTM2
DzLpIc3jbaTC4Fr2S2JHhOF51uOmVSQHzlJWc73+WGrhveNkD1pJBGw+bO2gfDfs8aJytYtxJH+c
bvwCauIutdLOY3Bbm4XeHWQn21s5xHiKknMci8/YzYOTmClhIwV+XoZZkrMix2Q/apnxVGA+8qlx
CljM4zT5D1nrJ7ejD6A/jqnObO8T3Ry14brSFhciguBJbcEiqzI0sFoei8u+VNFVJ2eMzdK695tV
V1rLE8acBZDtYg3vVL7zMrNbWIc4u2qNYW36xrryCcPdgAz1oBRuw81sLik1XXqcHByBAkPdtoI8
P2RW1Tro/5e9M9tu3Ei77Kv0C6BXYAb+SwIESVEUqXm4wVIqJcwzAtPT90a60p12VXn9vvelnamU
RIIR33DOPrWzUdX0CJ/mvqgz8FNjhVu07pB0uMaLZYEkswa/kfiL7KkrrxyAWKewjnmxFyjDmVV9
M0iBQykzx3zkXN4j80FEdcbrOBP5M0fXKR4q0JjhLUyQb3JyvZRBjpOiEwsVcb/GCel6/QbJlw1n
uh/S/stux3NuLmkQhYSdoml51VIZUIC8VbOykU7HNkJlkxGO+Mz6rqRdghDVhaY/zwmGNXubNtr3
wuqnXQ2+JS2H14GRh2n0ENsS9jA99s2WtzkbManYz2rZPZmyfDbVCqX2lN5P+XxduuO+b+D/K2P6
HMXzIRn5iE7TaQiLXVSArhW5ddf3yxmS/OsUmzcVRlfHGJ7HpUWqBv/EBqc4GC6HhQDfYLh4+rK3
pVlDKFNrR7ARY50clFPvJIeomxhVw+j0UtO6Z1fKK5iTaROV9gM6q6teB2ZKlu0rN8GxCSs27ijw
IG31+yqNnk1iije6aPdmoW85bujQJ5ho/PZFbF8D44MVHF2pePLceqCQrLzayc46CSVZQc/KXnhT
aNm74ii+OSZ7CSVuQ2T8u+izK15rP1km5Daae2XI+barBT+m0V2lQtm3pvUWihowHirWfrgPYfvR
BiwBsQ7VpkjiC07kr1CwF57B2wkjhZ+8JCfXzHdN2DwUZU8fW1b7IRqaPZHWK+trJQhr8NmSNyus
YMrquE+1qg/KQqibyjDGi9DwOzuA9raZ076UoGEDRThnweiE2UDTrLYE9PvxVATMDD+SHGEdmZzK
y1hbPC/A+rcz3fFGN5L8+9Qntq/pRQxzddZOI3lUX7/UZ/+bTbNLe4WziiqEGQQm9z+WIGpmqkVR
hspNmgL6esrcb4b5d5fZf/oWa6X1C+1i5im2MjD+N6JBy2CfZX2e0stf/xp/tIn9oJ/wa1ir/hM/
mqn/6dfQNDljfkiisxi55e3z0gNGelAU/6+/DVvdXwbjv32bdelqrEAK5KarCPWXXyWqUsCi2RCd
Jcy8Jo0pDNeW5FEalxUOaXXw0czfYCH/tBLGXw4XaCX69//j5e//cUn/y3hhFR/jpWDCbuJU+LGJ
/72N0PgjlEGs4lmdrOv239sIlE2OYens8H9bwvBO/lymWLQRNB2Ak4QO0wgZ1d9pI9R/W6bQpjDf
IL/GJOMJyMgfnxlbjdQ8b82KbGlUOOhUVr0wccwTy4ONNkXqYQyzINfnQ1mUdNyUna+Fa19RIQQO
GUZVzvBSNofUVM6LwoTSIOMvJ97rmrT36pwm7dMsjBfHrTHgdpQWjtJvhzl7+A0N1y+ANKOM/JfU
vp0ixHykuKe12IIbg5bFqpkSnTgzrG+DT9DFsIvDGLGm6YDDEj0QS4LQlrQFkh2xEWY1vIQVxQVk
971c89NY6qLAxSQ2z8xJsfGafjwB4x8G8TisAWyY3EeNRLbeNdiP/0hpI64NIGzs1WuCW7NmuTGY
xEP2I9+tTD9c8nC285r9Jgtu2pw4uKU0wkO+JsSRXbutSjyV7JXzo2kq4zXoWne1SJee0aaP2BW4
hfJexayZnkmU8dbQuc24GEFvyQe6DqbHWfO4dnd1o44shUGPTgig9SaUG7LqpV8qeU3NIBrPXfNp
skae6jrF4zlXebAMCtkq5hUcH8j1w53LCHW99M3NMqp7W8dzN2fJ90HVT1G53CxaMXjgyHSGku1L
3iteKKvVYlZfy9jBfihQiUUEBigLXohqTSPsKm6juk91P9csVu3WbRbOMSVHN/raEm0bo3CCUak+
Gg0chiY61K6sZhplV4kCa19yVnN51HVu/MLojs3AMxPK7tIkVr9x4Nx5gtpra3ATdhSwXSp3DRID
24yzoHcrxWtgFOMpKf2sVnZtqlyyqepOCz6gjQnoHAapdcetcqJ/XYmdw+QZhWF7GhxONFwLoimj
7wACCtBAIyV91D1M2AKDIS1PkRG+zc0wB7ni7CK6bN/sxZPRYBTSGxu6EwKAprfQbkS3bDiu1anw
l2i6aTr3e0ssN21Nx2vYWYeoSdTNYpnXvezOSdU1ym1V2fnyOU95treLAr9M/cQOqWEnhyMQB+Cp
lFl9lfbua5WJO1DF3516xuWDHmyJgohVSt2NV26PNkRoxyqPb5KquprS7qYkw3YoKYuxvxKrE8rx
YIXmF62NTKlPdWOXyNDGElUOy71mLaeoacGp58kYkGZDEIdu8X2NXZ23uxFj4haZNYsa/dKarx1r
F2Jf3ccSuAfW32OrtbA4e/Mwgh6I6uUiF20fDgnCEFPecthtWnTVGt4/6i00amETXnSAvKgyaYTp
XSqZ3NmqvcZW3S8AP5jN05nEIBA2WosZ0ChIDXAjVQ8QuiWBnlk7tG6kGVCQUNPEDgEHbIEUyZMD
j5rEQeJMNgUBtUD0X2yj/Kpa8b1wNCg1Vf604PsyVbzLE+sY39QB74o2tDd2Wn9zpBJeY9o+wfXj
mBDiUlQFHwa7Uc9sAz51TMZbsYyfsgNcU1jTHSvQ+qCXwxuFb9AY4mVO7BNclcDtitgvJj4vjtEZ
7CCi53JCIEiKFdLAeTeEAADr9uIm5HJaabB06GXMJrxJ0Vj7RBzsCQNxr/CZPToy9PnOg6e7xoNK
MOwuNgGVLI1ab+spnbaNop0mPgYXu3LvzLnbkzgAPSMfWG9B9dPqVN0klc541e59flfq5Qy+tgv2
O26QAvVE521Al21Vp/qK3I8EUVXX63cZrwn3AFTaiMjPPncuRa8FAhwqR1hmbOpwRfQsIwawId2h
pAHDmuYu82assfxzjoM02jTRf5rRTZyiTKEBG46GoqKoitR5b2rT3VTmvlrUSHGqhNQnp9wDOKTd
pjI9TMCsQwWGBw4FBmmezO030S0JHHT0J5NhMsyYAiVu7rUEng5adC+KLYmpY4XORN1HpmFQVjp9
h1tr2QxNc0IO1vLU1PfSnK4ZnaeENDU7iSXZzOoberf8UKsjaPHpTszVFgz7TPlrH6vG3WPjHR/i
ZZbBKLXPzIVTSR7mLf0B1JKcOe2PGu6fesqg6P2L0Wz83vXv/65LWb/q56ZmHbsC9gc/RUae+8PH
9XsppcOJoI5h9QL3z/nFlfojpxJgloMEAhHFj2Htv0opJCsaB4614iD+tfv5G6WU+UPP+Ouuhipu
VVaSs27iBWVu/MdSSlu/eZ03OcAGG3KPITucSuMTI0LM641yrmMGCDzIpyxHzdfOOKZn9qIOmwEf
tM4nZyLtnftAMiVAVLUBrKC79aYDGF85+t7JJdyacMuKdj9yaRWAFDYj/Rki0NfO7NFPjNzB9MPd
xGfcTk9QTz9tpFyjq297BUPErNanZjI+LMar0QyQRe8qKD5JIfdp3e5b1z12TJtwfgULyFuSzDB+
mAN02OrRHoebUYslAz0j2cWL9p6jzGI8/RKDcg3sMJSMTot512JHQQTIgMuwuitzYvrqELXUa0y2
9HSbxek9PrGaFDpqgqGebksyYjedUwejtZpS+OGORJVqHvLCxVdKtdwo4G5cPf+ODKPezRoqmyTi
MFfm8IE4oa+8lpMvSmJAyi49ZQYy9wQ/KCqGOvfAhpmePVUzW39ny+4LbWfP/HLMH7leFUybJQdQ
dRvjSN+UjnulDgpIZbM/uaX20HCXUhTfJlOibOU6VqKT24nF+VKVdcyplbdkDBcbw3Ff01S9I0RK
QTBZEYYLAIjoA/1hKZLXDM71mHOrJA4SUD0BGQ/BPG3EF+JWa4/txvC1RM5bVDcRXhudrIj4OU75
+SOgAZuF1FzPgj0rLQZNdakbW/K2Pqs0Oyhd7o8RcIWkQyPeq1SgCd9HTB1aRbfcVCXZ2XNxN7Ww
KSqnhkerg6KN0IU0Ja6ofsbvNrKO9gADuZzKmbErKnmuKofJTsj73lEMqlOzEUX9qsrkuk+T6zaB
J6xEKuNai6vL0FBauB0JEgWpTmR417tQr25wIMPmNu1DrpCKGnXJjUirVwLAk6DJV+NT0voTBCUL
LexmHMguUvNh36jiommdV5vjahzG9BzJQ1fWj1IZdlVXnuKqCgxrwmZUJMRLdoMLoGekhshjmgwx
vDAs+uwGjcikaTcmNZlZZZNvSqs6kynE0Me+VM1Ibrc73DtZHvQw2ZebfjiFShLMwj1EU3lWzfKi
DeGeidpZkcxThzXJYwWCS6iisooXSl1aJguILg9oEnqWgsKsgRhSlfyjZWHWHrGjBXU6bPlCDF9I
KjN/KnTkqvX6Uc26b1PK7KRyvux0kodKaSDTYb3YsWg8xCpjqAWmPVcXSVgbp3SnHXPUaGtOeuih
+xkDV3GokJjaRlOM9TLM0qAYjO8S+mUg4+x7pQ8vzSI/FntMt1UH/yvSx8ssaRVYXZK21Fv9luNo
0D0meaCVoR33R86eVVNWc7NPTaOhCukPZgnIPNAZp5qPQDQcZxcbLfNrsr/4LDUlIg97apetI0G7
bJ2ScDI2rJj49wYmEVIQdNIkb5SymOW9K4h7uB/dVtGPcpLVcTTLPH5BzqYN56yv91VE/VGncCgr
IzOCJIGN3SBhUdvorgt1iCfZdGUYpQxapZ12jmIdTQKsfRpcA8GL9dGgAGOZYMH5SI2XTEEeF5Ot
vVHFYl3pFQ9zViK65q9jEjGrtzo03uO01fzeScmxWshTcmNqr3jFa5UjU3GBpKrtSXacs+k0E4c0
JW4a0H6cjLK9VUJ5LJzqjQr4a1F0b5zI2OpoXCmOSabv9OmKUagpwMcRC/eegEO3khAql4bChTbf
3vT9eC+09Cbs3GslnV/zWPtaVMG/Eplf2VA8lYIwtOUKzTB8LZP1RNTeZWuTLmKoexOs+mMe2yeR
5egCpup9jJYD+jwm6cpkeU2yEEusFTeWvXL9TDfaCkW5ZXSh+SOZIn4yydMi5qNrTqHHq1Dv7ZKu
o2N7sSP0nLMdR6DtJjZOWEaWzOQe+sxfzOhZa0EWOEYa+rGSMaLO3JFv3kqcRO5eX1zVW4i09fWR
pLrRmapzMdUjCVTjde302oZtT7SJVPucjOWJWg8zC5wWl41QV3T7SPbvljvOWyRt9zObt+1SIPEJ
XS4QM5WPoUSeJxHcM4e4ShXy0Gy5vMjGjeH6WwbPAAmXQCsUr636z851HzmgA1Hn11kRr/GE+l5P
q0dGxTslsScPusqhGfXL4NR3rll9S7joNqotbgzBwsXkcwfEMNyFi9riv2zJUhm4Evox2qB/TVk3
ZQfXRME/RKVH7l6z68xk9BKjO2eJvFCJBKXWPw2Fuq8z/NeG1HgApTFtM4HNS6hOQ08Irh35WuzZ
lPdI2IcdkHl1Z9H1HHpeUA/2xVnUXcoosb8iL6/FVErX0E2PObkPbP24BDmyAiVZop0yqtDwXcsj
hprhCp+0Y6RqF0uFTKN0wC76UhSHRUN5NSB0YjnThOSuoIEwkkss0ydFELuolAxcOOQ44MxxvxQa
HwnTuWgwHGCdgz60qumjrKJnINKEtdofi6F/TJYI6g51Zha9oACzyAdMDmFRv4jK2etGez862lFP
yYrT5swTeXzU2vE9Ql0ube3TzcBvyOQWQybe+F7cl8Z6iCsmRD0SfP4puxEtUQ0jaPqLsjshdGGu
5H8ovPm6XwpvA3kApsiVq2au6NlfCm8bhyHWB4aSUNz5o39JIQzQbRgfTUG95hCTtc5T/3/hDS4N
35LL+bpORe2/M8MkcZvC+o+FN9JaHE0CvRV+T+tPhbfK6EhmrVVdplbwARuMERWnQQyQMe5jm5No
mLGnSzFiReIlO4q8oKi0iJsgxEhUL0kRdidUEHR2ut7cpxwce3OS3c2YhfX3umdzZee4VeLcnhG4
Yuv0alchfaqgCLx0bdGfmzQ1XhVh9YEaIg/z+CQR3lGG5U0W1S4i7viOoY95jlR2z1oUj7sFdM1j
78wmjgybj4JmylPfxfYhk2XVbGypZIFqEnGtS0G4ld5pn5Up8xdT5OU+MjucHXXYvQ8I17axcLC1
t+64s1NEW+gQ6tuRJIBckvTE2KT2h1E1iHhWoP5/EG8TG0cV4vs8BWx55Y6dtVQ+jchN4xuyTSQB
W2FXtmc7ply0I3WK7+PU5ZQfZYdGnEPIHm8cdM3oESIDtiVKXFa35SYf6pFVGFVEcrSUknIZ1s38
jfSipkAb6cK6CadXa8z191mxzQplhVUGtO84jCQR2v1YLe/rpJqJMPkAaJNRSCYRAuiwHqJvPEmJ
J8pleQ+7ePm0kumlVZqgjJIrZcW4Fio1zWi29V6px0jFoCLnXcYGlyOvn6+zaqoZ5rnZtJmKCnVA
MkZJ0BW9zph3AJfBmfxs2El+yF31UeeA3tcKW6FYjMPGhBGHDr6z7p24Lg69ArujFo11A4ZH+JiL
XMHYxKwewk4UVJ+5+02xR+VKz3t7U0/FGWmX4rf9MO0GRemm7Zg3Te8TH1V/2UoFsqEOS3T7zprn
vVhvEeeev7h2+jhR1l3bqZGeOgrEV5W8XW9c1tVtRpbkIiflyMMLYM9GyZdGbfgCM3x8LNOWDJ1q
Su4VsjAu8YDBvcTamfulYQwd20vcsQNiu56G0ez8iGQj24tK00KlxvFrMSvM9St7GvXb2WqJ5BCV
pX7WVb0ETSLYxnK2b/rRMf/Rq6q/ncWscf7iLCY4uvhPIxC+6veTWEN5tnoqWQX/C3r5y0nMYhFJ
qvZzmPHzJNbhYZroW/G9q+uaZ4XP/NwmOQhZdY50znfOUMHR+TdGIFTufziJHVMIPEBMYRzImvA3
tfWk/mUDyXg9rzORijMLXeQdpsOEH1Wr/GhTuR0MPnhipbwpISPeVHWfwp4YlXBlwZmm/a0v8nt7
pcSxNvNl38ONAyAnFXHoAMplK1muXRlzScMufgXPZbr6Nq4oOlAo3bFomkMz8DlYkrPeKwdifU4d
bnZ1xdnJFWw3EL66sTtnX8K8WzipbPwr/WhVXgUVL1vxeMzD7zS9f6XSVbC5lLdzpqgQ95UHZYXr
hStmr4G3F4XWMU9fckB8YwSRLzXTu25l9LVNB8rOPBYrvY9kut288vxEbZzjlfAnQP0tZn0zlPLo
dOH32h2PiWa9aSsb0JigBEZliCKK6izSlNcRkCCGPvW9nZlgjEAGl659SoAORkx2Nnj9G48h7uME
mFCuUK0KVGGWOad5ZReq/A4hMMNkqd+7lW44hFmyHfGEevHKPiyBIIYrDbFF2sP5c+7k+IYAhBk9
4MTJaXb9D5IiO/jNgDLVAbKIG/ScaSzUTPCLcuUwzov7lFpuADn3NA7xTqzExg50I7ID3EbAHB2g
jiNiq+0I5jGJ4TpzIWDdBHXdrCzILOtfTOCQ46rF7VdcJNhIkkEjuMDRjRvj2SxBSzKJIAMa2GQX
YkXswE9qYCjFyqOkEnavRkvWW9AI38vIvo/CeYchaNoyzb+aK03dSF35ROe8mgwDK+2f+X/7smIy
bAwO+wQNgUmc9hdmSPm1OxUP1nWlZmitSbay+Dz5+H9i2ovuC8fwPrVbUvQo0nvZRgF/8aTKZltX
koYsG4bNoHT36tDuUDC/GrPKLkNGm9oxGbCRfdhXleGXZXEr03gOmo58h37JvQUP6xzb6JpRQ2A9
brE4k1iZFiGIuVnfaVF1zEwjyF1QaZnb3hrZeJXGferF7XzTAkMTRnjsCZBDX5fY84eE6v4clz3B
t5GLuNDCy3KnrT6fCBVIodwKPNR3eCKoudUpCQjwDhDEYUXTwi8ijj9D0xX4pJhHisa+ssvpqbPa
b31GiVBX1a0dEb0VZ7cqE3TkYabHtNWvJ9tLdXvwASy0gWP2N6qeG/xyKAttW2FEme6rfjK2MUm7
4G7sxUuHDi8y/OW+mgLdmt8nC1ndNL3BbN4Kd37kjUa3kiqHOVGuyybexZlyKNkPEizjRSnhhOR6
p8UcZA42pwmO+mwsVzppYGrTovRCaaoVUzAUXGN6wnWaQHICFLOi6HcjM5uiLnhDnvo1fHWSAbls
3kDuYqJgOMtK25+Lzo8T96VIU/afbYzSDBQDgyZUsYUlCSJnh9GIG2ZoH90IFogsw3mysb0Yrq/X
88kgHQCZeY1gCEMTPhHeWxMtl9zLrv2Q7XBOJ8fvUuNBJBFjghkUTYbg08CJbmTwTAUT1QYvWKBm
4t6U4WdjdTydA7WIGwHLs4c9/vTJUxpzj9rzEgp2ijFqszQhBg/EoBcb8jTa5XEi7AzwHmbJyHnN
dYx50DslCOF2FjvIVpCHhmeh1YeQRQvaeXubpTnn31Qqm9qq7nRJFnuytCRS4uuO0j12Nsiew01o
LQ+MXtDj9behJq/aZkDihhV/wq69LFpgWe1WJzuU8czgd9izOIX1wDX7I1Vd4FCdei5ataYW3/IQ
vVqvyTc9cXKP8lg/IE26qOW8qaPoVl2ca9cB+7+Q7RdYy3glrMxjqkC2ax2h9FcS96BHpsTaNl30
XCFlfr5orvOFYYrhXO13jL661lEYLzUlMNz+PPf1pbedxymRsVeYJviywnRBrmj5S4bj1I/q4Svt
JDpg8ZTLks13dR27GJKQXN2xAmWG236Z0byVUq1v4mkKmnR5zFQNeegA1p80iK40b1slhDQs3FfF
ap+nZjqORcycXxa2p9dYyFUaYZLw4ol+YYyORr/u5I35EDYucFsAbcSL4rDKnoYcAoqvMiMPlKUf
PWdytrlIDkzI2duPxeITjfHdGHTpz0M1+V2rvrvLclYJR99SLkR+pKkBY7t0E+pkJvSEerh9dkLX
xXE5T4RuVMlzlWqXiggC9hIjsWwA/uPuA/qE34t1VzmfOwuso8b51dp4UFAHP06z8lRP1UOesP8b
S92vc1bhzjyehwwUpbE490tZIx+QqbxtGSiTn2ine2PNubRQSkxeoZKw9hs+8WP6n+iz+g9qMu2P
Oiycw7aF0BOxMRJ9usXV7PNredI1jmrMru6e1fti82IGw6XxWOl67vvDXXdCeritvH6fXJu70Y/3
VRBfmdE+PcW7f4YNPwpck877vxe4DxK51Oe/jxrWr/pZ4OK5QueHq4KiVHVNnQLzZ4GrAmtkUeew
AkNK9+uoQbf+LwUs2FmxFqC/rf9+Frhr6LfLm+6AfyQlhynE3yhwqWP/UOAyzABtqzK0QMxlYA0R
f3qCcDKIpmQ9ckPQCOllqGLpmohmzGjyxIDqvs3XrUnizVV4SloSkU11xJJZDpeiqw62Gyr4b5Hl
rdh3UHdHJmwn0rPHDfXHvRDZ94FJs6dUg72BsFaQSq2RabyqdoUVeUVHhOgk0MpSMXbGi9vgUXZi
1yCoizPYVZaAfEYFBX+MKxhQLX7LdgNq6AnB1Fs9V49DjBug6jsw6JYF0bA/lFP53LvKM4D0I2Jh
RiTJacjia5gbb13lFCtN8sL4nqiVyAHehuYfSYa1Q1l6JdXqtZjFvEWeypYSRLvX5CNy1PFx1up2
i5ksMIwFKUgKe9IYE3JTFec7UbKg7XLruuvzB8JPM8+JzK2ZOXcwGb8jpLkkpNjg3yd7XERpvw1H
5g318AK97iPsq9ew0c5cHx+0NZT2WRttZQksq7OLC+OW/Wr3J9D4LdcQfNe5U/sjuTtUy9XHqLoM
R8kqLmZ86LWmL/5sFADWm6H1mFVdE1MKRjG8LiMGOEndBnM1BqIdryLX3a868HkZsEWnn3bRPuhY
J7BwvRTRUvhiHYrwJrmihacyUuZpAsutNjUWiIHuFLvTV06Om4+AGyFUKDzZ0k0UQns2IvPO6InO
dpLswYi0L6lZA7XO+uWmlIGhy5eCUqGruCgs0wpkj6qdII50B1LjFRZ+Fmi1vNFik6jJzAZ1g2h5
IwyQG0sWCLtGa+6IXdPH3DwZKndZ866h7Bg9zbR8abAzbDAbWEnX7cKuPiZh0VwtRUZIZhrOa7F/
Z+eci6UZyMYgIHwJ4dRkeIZFP3G0L13Kac4TZzL08JyFh3jueA8LrY4IKF7ucejwXUuHzmkIQiHv
F0e/SkbWuLaG37hrQm6jHO0J/oYPysAXBz8iRN76m1AJjS+rkDSQCZ2SSPa0CQotW7wXsD19xc5K
T4hqZ1G+qAKnIS4fgO3xSFjr4HwWaXPN3gGgY5fWWyKXDlZErqwmCQaOCtClDekAq6CJp7HYgEX/
1knyEkQLXdRYEDcVVKNHo8xKf0KmHB1yzY11P8vGZyJ52wG7UhcnT7wMYX/W+jV710pMPbBgLJYP
tsyJPkdDv+gbt8272FOdwr5ARk6sy9wg9NabKXpNaF26nEdos+KIb2riWNHVQRSE4yK4hWLbje7j
RqyeF3O6xYQEl6JJ9O1kDzp4AYAA/uRYXXOQIOdw4Ceosz1MbDlhBDNg1DFHfGZNDcxpXXvJRsIq
T3lZS86ZPFb9ybI/RCSJxiLnoYUbMYaVu4a4GGZDMrVmRw+it/PuVSPhllWPvmjYMERhhW9YbGLj
JDT6iQ2cSVn/M5v/1zwIse1/vy7vmXB8tv9+XRp81c/rEkmMwUW0yuNXqjqU4t+vS/7IZUDjcuUx
uQdh/PtkXl/z4tbxO6hDl5xglTLp53VJXhwzdLHSklVmSfbfmgf9+3W5Yo81DX8iPkUmOH++LgeN
bVejuPOZ/UEXCCUvtx36q4x0eidsQFClEwEkg0mIshmW9Wkc5T1sqp3pZANd1oKjORbm9VSysR1S
DcEtuFOuZ+Hls94FmtoTy1GN1X6CJXurGeh1LaNXjsUcmQACqheXHDVPMcVHiU5vo8bLbZFgAglH
HHJKPeQbPUKOT6i4V1bDuq21My+pRmhgTsSmP2GNVxbabaYr+WEoABEXobkVbWzuFZvDiIVgd4AJ
gpfGtUqTTPjsjrrhc8ya+4qNQV2Mrd8KSzmkrGG5QnKa/N6tz0JygWtragf/Ssj0AOPoiIxC+t2q
jQtH98RqZ9PoWr6ZouFWZMtTIetHQGNHbrc3oYDgqAt+2GXUvNJJrw1z3XEwgllq5/viEkwHWaXx
HG0gCJ6wE8JWGk+RhCrEFsANLfzIWCow1q6CkL7EVpoT+u6XNClYPuh1iCO7aLejOX9bEu0Gvhj/
wVI0gWMMTkpvnEunOwDHYFrQkcVrEB5jcq9pUW2ruAHraqeRzoKzZKexO5Vr49oun4vDqsK0B7KL
TRKkWhtCcId2uJSUJEaBE5yiqd67Eb39qBnPtcxPUgF91Rj1dpg0k9PsM7StLXK+laIdrTj7L2lH
lW9n+BJ7Y6kCVfQ5gkztErYzSX0WeWioo5H4LO9OAxhIRQ3l4ZK0vNYgXw1hyGFgLZum1a0UhQBT
VY84KRFoNoEJycPDYbSTqnU7jdEzLlF30xcd+XR97g8Ke1uHJS2sbcLFkixCUz4vYm/nJe1E0ZH7
FTG+SRr3qQ7TS1ag9m066xiODjiyhhBrEGfvYl7W2Izq3Z5Y2XcT4fOdEi57ih3YaH2WbeuIuNxC
I5WGcL0a2UxkbKBG3Nshtz3YHm2vFcWpD1FPyjJDbz4tCpNS6DC6YRxpFG8tNX4tbT3clFNBYH1n
XReWtgc+AIk5cs9T2XV+rmiopWL1ICIm/FatIqgeQygV+XSuIAiwRcdEMmYfNG7PaaF/q+fxkhro
r9So+OSQumk1phft6NwMoym2qeMQEN6Vw7U7dxe91r+nK1MMMu9eZzE0pu7NpJX3RKGndNwLOXZM
fTvFjJgbpWlQrzqCPrReu6q5ZW2Wbxi/fKYLlqdZC3eLZGOh5Yq16Yx1FhKtKX4RivkoybekHD2X
Y/UMGQBjz2C8tyJ9Ky0GdGpfwXipgKMgkD3JynlKW+WoRsMVPioBpM7cWjH5egB6EPpID88+sZGu
8to3Mxu26rpqSTob7Q7+dmS/9IvWb7JId/dDjdm/K1x4TyoPHoWscdayCndYg/rl+z9d5G9dJE3X
f78WHz7j9/+0JjH5ql+uRZ17B/Dveof9cK7/7CK1VSlqYbuxHQYAPPq/X4srwcyEfunQQUKD/dF7
/rwWXWz9K8CfhbbNF/09qIepsnD508KafNeVtIlI1LHWW/YPcwhyT3WR82OcBxD+nZ/q+mNkin1a
lgoc62ircop55iotCQd5mMZZ3TCAsbbq4F71ZmZ5NZrPIErnB0epEDKnPI6lSnMFwH+byvoj0iYe
Wba6kO0tq5KKryvyqXPgUMxFOu6s1gqvY2PGvDHZvtVoOtzhoT1xkUvCpbQ4mGz1Ww8xTNBk7Mnk
4nOdqokH8ifbohW6m9XpFn2KddtAA8QeMjo+i2lyVllrUwWiSYkoojezy2FZ8FM5UxakkVT2agrX
P11JUY5MvqulNnHnrXmUfZkOjLWYt2IoIKZRz5i8hqV6DjXixSZZ8v9it9zbaq5uar79snKKWhtr
I1JW8LcrxQg8CAoawEak/p1TQEcTwKO+5U7rS+29X1lI1kpFqvrBRO+S3lVkdmPHPQ4KSQitRWIt
F+C8W2KIuy2gJUcy429/sJcc5bEGxuQCZULK6xzMZrm0Yzb7DL2fsYZ8VICcYOjbmxa0E/iGi9n/
P/bOo7eRJE3Df6Wx9yykN4ddYEUryruS1JcEJbHSe5+/fp+Q6ZZKrML0UAcuMJxDD0pSkhnMiPji
/V7jXnstnk8dZUCLCVSZ64cyplAG0SZTol7MCX5fFpqL7C7s4pWJlVQvPKUGzKV64TLV1BxNsZ0y
UmeTCx8qhWwE7J7wpkpNhgXDJBQtwrwqwGsaIRCGVirOVjYOV6hbEnxfwGNxY+lnkjDCSoQl1lhV
txxI720TRiiZpbPICxqA3ADJE45ambDWSoTJFgcKb1rhu5Xx1cfPNMGgJe4mHUkdM2OJGAC9Oc8F
r5CTSzijYHvU8/quhXpIQiqohKY85YKViHNCvUpdFcAbxiLq3HZuChbjWFRYnfG4LhoOJHgeCLpj
IJiPua4dSoIL6dlJONHsjIkAUXKAMKlDnNQEg9JxO2umhFU0bUzc8lIoRpU8JBPmfj7JBQuTYEic
mFznAHYEyXABc8TFIB8YE/6mq5DaKxidHdROr6V14dv9mQbpU4X8Cdx9Zkb2oQS+3KiHqHXc7sTh
mpVeX+WCP2pCJI0S89ZykjMYvmwJWjhMXUinkYKESZBQ0/rOEqzUrGffzMLcmVWWU04yh/CIOkzn
WZSfIA9dVFJyU0FzjQrvuKYXsVQgwAaI+1UIscTOYhArOLJl358lsTqubDm+9+HTGiYMDVPurMOw
sI5VJzkN4N7GgoSL2k5FrhWNlDNQdD0fsi6M3eCwgb+rwuNFgHEfC2KvLSi+JlxfvB1vm7I6UwUJ
2I8yZ9oLYrDhE+haCrIw2x3ataZeeDotQcccaTfALe5M93YUZOMih/Q+giWMgohMV6mnRomnOTxl
dyw3hSAuAxQLVZ26lAWp2Rf0ZodhnbQwnlWYz3VHc0oTZGh6rfo0aktzGcGUBi880mFOBz6JEb0g
U8ewqmXY1aOpXbtwnCelIF5j+igd4O5wiX0KZAn4nJ6WXqiCrk3TAFvRZlELIneR2i5RwXgFwfF2
4Xq3fnUiP5O/c3sVCDq4ayUXMfzw3gqklQ9jPBDUcQCPlQmXvBVxbwgmjQl58/HETHEjjwX5fJT9
E0wSwEKoxqZSGf/wRve6yDlRDIrIKRI09t4Pn8ochD+DiyQLqrsuSO8pdCpc3KRxWcOItwRnbyzG
i0GQ5cmkReIHDtBrwawRfHp49Y6TtHM9L1dY3lNGK76HzTE0fI1uKPkumTF3k+EOR8l57clr6s1g
0Qsavw2fn2LoRoXfP1oZf6pizdHq8xIFQJvZR2BfePW69XLkIYJwYgZoGuTFYCmPIzoCw2PN7lEW
mCgMCqXcgOKf1CgPRhjKlpAiVEMzAZO9z7D6wEwjOuhRLbgRpTEqBtnDHLPlIcA7gpU7P4B2Y09p
uMdYP1jXOVqIUTc2Uc1CGWhmRmSs8NfgjFOjoFA06N595ZyVDhRHFZUF2FNFyU7esiXYga0K9kmD
tDToxZp4JhLP4a3ZO8tZFvgNZo7ofIChzTPbRuYHF0ldlFV5F0TKlYFZ4YToxxvFqu+xaHMPStYF
0CF0AbGVK6wgCvoI+wHj5n5ROiUdy+yhDPF4Se3sqXJHStFQwWcXlOQ0jUKD+M/inD2Pvj4/63L/
qHZot2F1TMNHymZO0jy5IplTtoonzU/PwtCpEEG59CgJxFJyGoy6N/hzJ3Na7GJqzBnDBmeOmhXM
tY1TH5+OaZ4HSCWCbJ413nIghoYwxQfi16EJSOnVkI0+FjnhnwSlP5IsALk5SRaui9tEOPAduO2V
YuQK0koavaNkHRJvwVacoorF2tlCaDsOUNyV6swZ9ak3JD8iOcomdtKd9RZxQZXkHctEANNAyn/Y
UgrBWHfuu0xSZlKRINpKTVLX8G7IcROQMUm4KO30hNW8ctwTHdqAH+gG+eRoTg+xT3CK0yyOM1rR
ZSBjH00AUDtCkHUK//g/dfRLHQ3k85s6ugwAUIfP+JLBn/1VSKu4+oIQwdMUNvIfrIC1b8+2DG+4
0xvtE5EWlmYWVCP86ii5KLD/rqL5d1kmdwP5jwxF6J/0YqjjPlXRLPn0YFSH/wCB8U7vu3loCXqz
IIH3PFVyXT+p1IYVaWgCAKQDPGlVB1p8i4E6c/YRet+fo5gB9L6vdDEnNOthaInRy5ksJRLvQswe
/KtiwHDrVBYzSxJzLMux1gQLbac0dnGsEXPRz71TSczOtvVrjFmys2qonyQxgw2ne9LFnPYzzGfE
LM/s4KgX815zwhOJhaCUM2OaibXBr3GJweE0RptUPkkZxBtqzocW1ibQO+lQLDISi43f1coBPKel
ZdWntEuQL4hlySi6e/JZb+J6iCchK5dm1HceXLCFIxY1RSxvHvRf4tmdmqwqFj+FVRBf7gxeOguj
zQoJtnuWCWY1TPcrjMCKA9JBLnpVXiWysdHrZKFByq704EgXLO0SqK6Htg2Mzm87y0Qu7xpo3VmP
yCUVRG8I3074oHVIXeGAQ7l/LNXqrByDWwOOeKTjxQSFDdq4YZ4ToItUGEZ54gdYxdYS6iSJFDP0
6Vd4d55ij3Q6PhPSZdpWgyCpG4WdHIYKPFRDUNg7WT+XjC4+AtchmUTyoTD2ylHoI7rDc9icF158
glevPLPhx5sV7NsOkhGRPys7QxEiU7vlg+6g6yjswzJP1QV0fjIDod6XggeQD7G9iCy/nIaCom+2
bj8zBG0fCTsU/UFdYnD13YXZT4j8uSk3Z3KWdhNJcopFibapV1XRKIloyuNz0AupAMG1IBKoBxIJ
DKxUJXcBwOtOuqw9ktEa+EJ0QMH4EErlpdka5zDMDr0QboephhjgZBgj6UtHwVsmGs2bmi6RnHjf
KxQOnHwliEMqogchf2iFEMJGEZGGBTodFVDDym8lIZqIq+5GYq2e8KcxSlakFVqLxkJSh5mmmhgq
KNmPhLoUPDQ/oW1+Fum04+qhR7OBeKPp227WCz2H1SUkO4elPQ2zQH2JiasbRGNa2a9rNw+nckXi
ulaiE9Gi8LYhyT0ObrRawQxFKEqYa1MoqdQktVUv0qpOAZ0g8faK6k60TD4a8g6ZDWZKSYih64hw
Bc85fzakBf5KKjVvCjRMQoRJuItQvCB9ocpfRz3MXJ61K11bSQP7FW1UCdlMZlUzTehoqCRntp59
Bw3/IQuxTW7pP8pRvndQ4eDVcpoPA1p55DlGJfkzc/CFqX5x6TfVOtbxjQ6GQzsbcfdxID8oQu7T
o0UntgoUc/ihVuWfntQcdVl9EaMUqlvadPgKT0c0RJqDK4EiZEWGEBiFTSQTUoHoqKzrH7mUcIru
O3Ua99Y6KMo/aYADjGVIPlUhX+o721zVeNzSTZZsDDew2GBvxIucMqhFAVXj1H6gmGowZUE+qoRM
yqvoJPpju6qFhEpFS2X6/Rp2EMQ0IbOqi4q8YSG9qvRiaSbmtICyKMyArmoDt+teMMp7vyO2PFBn
OLKVTLqMKWGbJ3EJozLrXTZtDfV+4/akF3pXGIufZblz5bj6UusHrNMRscEsiS/dPD/1PKWYe7Ud
35VdFdDqbo8l2VKRToqJbYS3Fs04oLsumrOs6rhw+Q99CumcduW87dIVC/rloGdIBuUEdovaXOTU
lAeBYUxbFMELHyrVpK00ArNNiNl2usLcTZ9ERXxc+e1FYOjpgcoBwQ1Awq2sVGZ0ffnbtr0yzNBe
jmnzgNcFjfW8xE4+VX3y9ApacKP0w9Gp28kIDRYQ4S/SIXswNeZ2EVs2OLZNJdNTtkCyT3EWwuAY
A9c7On9CXIV+Khl60h5UXJd83BeJe1MXRp7K85Aw9DkNw4fGgXiT8yB1bjofaq88UPjKgRRBozsN
m6u6l705MgvGtA3MQ84HgOZ6cjD4VGwaEd6MUnvjD9FFx544qUM7Y2AQDRmW4U2wkeVxs8llaEIh
JBLyhlwaO6yR4SNIuDRwtO6Ix+0QuUbmDemyizIdnozMOA+9fNPjGgDoGuJ1Rkh8BwsfmX96jPtR
cYqc7IT9vz+wrHQpK8phHeflRB/UBtMp5BZFHMaH1VjcaCoTH7PkW2nQz+qgfuqKeO644Q2bvXwU
mGhG2f8PK4yT4OtdO2O01CRAVwsbvIMYZBaSX7d0DVrIGFEeZEL4AWG2naqW9Rj0mTRN8I+cFIKx
PmT2pUJPe2Zwmj1I8eWa5XkSMFca91Auh7Up8TDUfqvOoc9e9ykHXduVVoHnrcvQmnrQIg/6MF9k
BQyo1MrPswhPJVj/HknfxmMeooJo6uBel4G2wsI8p8XzPdNNlAsi49HTfoQyaIXWQpFS1dIHEUv9
uWlhl1ebdMTkbODxCwHclWAgMHBU7s2qPcWVJpiNOV9sKbFq+wOtEGzbOkrxcC2n6knEUWtSB25I
5U7bXrD89bpcDKPeYF8oEGw5WoZYG0wCGz8wWWSFFCrxgZnQByCOf/I9Ca2m7ZVzLGHkSZa07TST
B7ADNIODZN5CmlRIaXGNSVJI137Z3QCmcNgJnEnWxcdNpVDeN7QRPGD6qar7V7VpFbjp1YeNh9F9
Ijs3iDXPvbhzJtiAAEPlEu75KNomGjTu3pPiKd4shxKVExMylOH7VQ+5l5B6wn7OaLGFhMsCoAPE
KNh02GZIufnDlKFlazabQIJTBp6cPyzhwKHG6mM7lEcOO/nBYBmPOO8uSB4tST5RVm6qkT85tvqk
N6NbL0mqSdGX6sRuzEkoJfATHmSbs4yDw5utS9mB0oSr3ChRpDYhmVdBBhGP6GCMLu49CYeTpAuv
FQ4zB3kjXVqJQxJAkh3qTnfbU3MBP43Y7eVZOitqzZtgkIKXSlRwOzomdnaHJShsYJIaQe3sQVCv
CzpsXffDVMHveGb6GWL3udw2d3nL1PVL5SL2UppSg3aimQFwnBGWB/jGXKEpNSYGnV3Ky551ukxP
er1M56Wpg0fWjxBkIacH9W3R00pJGvlmjINVP8TXBB8l0w6nwsySMW5GiW1D20N2Z3XTLG6O86qc
pzK5avJQ1SyHMlHxZrhxqI391vQRuKSbMSlXowPa6ZXjoaqmd+R0T2sELHmL30hFlWdFLH1+wZPp
OxjlZ5Dtp0VjLeS+/GH6lHRW1t9rCTVfi6VlAL++sdJDFz94P0rXxCQ9hHVzpuvFKglqZQp5Y+62
SGCBdZc4+V32vjLrDRLq3CK7Ah5Y5rqDHpP2ixziqK/hzExg3aBhGUhAB3ETx2WfHTZBPokNuVVX
VagMk8Kz1OgiTkfzbsgC0z4tJMibF7FRYwE4CEMSI5f+46L2QnEwUID85gza8Owk6TZOIH/3dgiF
+CdsPywkKgq0Upkf/dXNkb9htqGYlqVyTP3ACbSxdUcOIyvEJvArghrxdg7F151/gBcI++FZiPhP
zqGmITh/f8sPn0Uv8CVQaavoGQWl4uM5VGkNmC9ZkpyNhr/S6LvoLYEfPXShMQ2zeWtQiBNNc6Ln
MYWMpi/lRlkEeX3mN3DYsZNyOhUTDEm4za66Kl9HjX7vVricpfVJPyrHnqMvR98s4c5lw8S3vPtq
iC9Q60YzM0nWyHrMiU5myoEbQ74ZofpAgMADKI7gwdlJjTpa848aGp3HKcRw2xeqBnaugxF9SOlE
DyaiWs1VgLyzs7w0qIOd8K5TWmFlAEJG8QdbCuOKSOmCMywonswso5AA05+MvkXV3UbKIbLn47q2
DjU3uaa63kDAP6l0RxC5rwHYM/xavUVmNkemARUqa80zI7NWcY0rsOMbNxp2iGNW/9n55rxq4YqV
CkVF59jnulMeEQ1yFnbRadjRFJYUl0mIA1FoAfUqpXTrCKe2jLa4bITHtPkJIyaUiz4G9EYjxgUg
GjlFm04yl0Lnzx6aoNE2xzq+H6d5cYFT2zxhmwXaPLMMhCxaT38L1noYYpECZ1pTMJqLpbtWd2/B
Z+dmw/HGocFNEzt5CAZy5iRZmyaEsx0ofXg6YH1/UETNhdy71KWRmXwv9ENzqOwaiMHD1Liw2lNP
tucuipiDxCD5cWjaK5/MCv5/MKf2iad1kX5v+BhuMY6TKGCT1rtsYQQyY2MrE7ZonNP4HsJQouKQ
7XiaDTZy8kG7DGxMFTr3SS8g/gWmea1n5qVEP3RC9Maxk8DhbAwLP+Ccgz9Q96WEEsjA/uvYyKi9
+yK8tt300cZzIHUTzI6ipzAtv3sOJFNYSBSG3NQyd5WORDOIgODc3gT4eq7puEoFFjqqLIjmedAg
YUyWxhihTGmXkUq6Rtr0yPlxLyG5NZ/qJpIn+Il3GUE9DjqSY99gtIuYAwH9AZLMeqXCp6bskbRY
9DR7tkhTcfITjJ/wRI44STRU3DJbYBYg1cLFy54mDa3IuMQDNetjGh0Rgo7qLjCtY0M3LtM2CyZW
4CQTSRnHRZJS4afEEs2dgT0PKsWfeVpc2S1fvNF508EYT+XGfXJbSZkSzXrp5PZlQ4Rnp9HmVFz3
0ILUChcIcBoXonkPn4jTINCP6kUVPHyIpmFRUrKMwxqLQyJjAEs5s/HXtVSu6laayhHd3QHljxLj
jgf/eRGMajIbokv8khWEMjgKjGspGtZ1a157fXsdxRhn9fZ5pOJxhtkDJwWV+k4LpO8IXill8fP1
x3ruD625QuIA2VVQQhGJcSqRhjXf67CC/YLveo5PAgDbVJX0jdpX5IxLJ71cp7PAHtIZ1JQ1lnnL
Ia9JaDUxXJMtKByIRQmZKCnC1aK7Sqwug9ZSKwtX9SC+ahyzujZOp13DE8i//1Bj2KCDEbsHZC3R
/I2lS1CZTZXwSOhmElB5WDd5WZxWMe5sJIlt8lw+s6RuXoWclSQ11mdwfNGQKLQT5bE8dhVM4lOd
b5sRPyJTCziEyFV6pum9npDAzWkZo5/AdsDpKNjiwVu6+MYsM4WsczMg9Iulkfp6XmBLPfEhMY61
f1Zh3MMhScZ+KdCuujDpMBzLzotKXoSlfp2PrJWZcqV4Be21EXqLnFlrz8tJc/BXKjc37QKZAHq5
uZHMUZkQEiHyr8CaSoOHOqrc+9Yc78saHKHSvaUXS7CTlGZGY574sLq5ym0lIQGH71eTYFOBv006
C+dkopUeKNpZKvJJ5jtnLHQLfCIwxNOr68HtvkdqfVsWNrqKqLnVHVhIitopIAAq0XpViCLL9o0J
ASIJpCSEzbGiHZZVeJWa2mLMG5jJkXLfReAYDuQnI3bCie0gktJyE+6q+r01L7pqNbp3HWigr12A
Kh0A432nbL4JMJg3lbRemGl2quagn3msVEs5NDcKC/1M6Z1zDqpMbeDXpUSgFcSsMZjFFr3nQNen
xDcdV3l82dIatPqY5Tcg1WdQrlAkH/kZPYrAa26tGsxDLupVUZ+StXFQG01w4CEM0vHImcaZEyxU
0own2EDeKsO4wNw0PAY6omMjlScOEcdzrCWjuVb34cEIRAoXiXO14SazLvdWBsjppDJJkDtQMg9A
ZWhgVtHU29hB4p90aY21APW7Yd2GGU5QJVIZqAvFOJwqoA0Tv+J7hv9lLj0b0heuQBnr18qtR0Qn
WokB0Uhrz61q/bC1/FNUbba9bvQBxkGP9aqf2yJCDGtAmP3zxFBO1Nw4ZDVamWgKIlsHLa3BwaRS
174HVs4K0RYAipW0pKw+JbLTW6a+vNEGeYO14gNbDq5ffr8cZA7DNm7Nkcyt8xkrTcmmBLQ/9gGJ
8Ibnw9ILEVy5NF9Tz7zDAbpdDArB9B2NpEKpMk6tI2owSYgtzSOPwc4fcE5SdPcSx5KlJHXqaVCi
H8hxkAmaRJlgRXPD8LOLK/EG08JVq3rWPC/6i7IyF6EN38xAtD5H0QBbsZSJnI/RqylFd5fWPThe
fGXgyW3Gxk3iFJClQ9CgMTrsdHNeBthdMk/AxPq5UufXVqY/srie106XTmKfRyAwi0tFKucscOQv
6cKRRsEn08eS1BqRfpo18r8wOaNPiIWq6zczAlqHWdnXPA8d9H/fHMk4M6tZ0pO+lpt6BWFMXY8V
aGPcYbbAAQeiqHlKkXtXlvlxb8UW52dppgSkkHX2PVsLQJV6iRDuiJm7tFRTPkCcIYgkwoIpPukU
ttpIOQ7c+siNs1tacHc47opYMeu2UvuTDIL3pAtwXwglBf9dw/uO4iKdKDBSx2BV6uUJQNM871Sw
nMC+8I2cPVoyb0jNOxl74trS4CHWDWzbwVsrbThue7tZDuXAwbE3TxKFTG0zYSGUkI8aAaifoS+j
jEBeeTxqSk2beAYybnM0b8MuSc41hIVTUDsJi3cck0iKw2RREOY7XQWeT9JhkleWjq9duaxgl8B/
DR+sjhrG7ptzK8eY0SlJXCTHuzpOipITl9ahpYYJClNyEcXkUjicqak53ZrJZcTQlq7NWlrh2JEs
SD4/dKi2SPzNNUK9xtahM/2fluBLSxCq96+PY/fNw3pLP5C/eTuKQSqHA6cjFUFQpcAqf3cUUzhV
mbJGLBYRTM+ctteWIHxzE5dSuOAo72gOCo/pt6OY/Y0cG1wd+dFzNug/agkSwPPhKCYEfpZmofJC
DOYYONYIAeA7/4G4LmsZ/1D5rIb7DSGF2Eeo20eq1DBzbCW/MARZvEl1aKeRW80z7EcnNZzyMjNw
oBM080B3jONSUM/1ZxJ6Zy5aWOmx3ecn5ShN8haiWG0/Km1EcyHpltgbuNPR7A4d156zJsvTHFVQ
U9ETTx1BRur0my4tl3rgp9eF5zUTL88fzc7GBDe/KRVd8J7xdzO94jEeSNLKKpDIouuWfd73YM2Z
n17IGv28UNfPJQ3qMH55s7qT3UnSSe5UUkqYHjELpFuvrcZ7dBObhIYhlWfekBeHGMeRdpVJl5i5
xudOXSow8nCkjjV0Su5gWVM3oFyDc4LrijtwCtThbzvaUxWYLCfFqV0HLH9+dBeo2nWdOflUCtVN
HkEqc0fvpkRHExTVYYMBHha8yhKd6hNStpRsX38ZOTg8yniXkFiRpN5RODrXSoi3nCGCUkpVvs4t
Np6RL6H2oXSTtpdO1NpYD03Vo2qu7nCdQXKdIyAtkCp1unwOz0OZ+m5wEThgsFLS2d1qGORyMpAb
LJMfLJMjbI/BUSuChbWwumxMB8IIIM/BWAL4WeQQhxDYDqw8JuILX4pCkhr8H+F/0hys4ypa2rB8
Z0Fa2WeOmg+LOLUJGjPJ7UkLB0fZcqMWKAYIj/QuJNG8GQPj0cGm7LQY1B9xZkAAxpNInuKB65yy
IRHwl5ZIDyKyYWqDI0mK/GblRdkZRHvacLF9hmU2rDKTk7k30HyLdKoTBZVdqZ5iu5ICEIwcGQKd
U0eD+7hiSIuwB8gEU/7TzP3vUYRNd9lAdFN90AcVc/LKY3BjcAi6UuN3K8AOw80eEhbaRtHQUqTS
hWLnP4APZo0PC6/o7UkameVErkvt0IyLw9xMVn1tzHRPOxuU6AwtWk94EjCnnIW3cufeGIlULaFs
ZBNfsm7K2jP42Oqxm6sVhzaOyhCSwgMIfpfJUK/kLlgUUXgZBN7MbOL7Ti4fDKfMyObBCHUA87bL
qJlipc2JTk5pJTC4hi6t4DrqC1MWduzOEIHlWsdyoTza6qhNq3q4zTUVqycln+eVABhqAjeHvj2M
SBDFhUI+7eLuwWesZ6aQN6RmUCC6zO80dCcOCggTJUQoJBE22ohaJuOmFP1CIZvohYAiCpujni4x
5EzEDulgPNWoLboCL9cE/UXhgiEHQpLBiWwRotGw0WrgnHGjoN1QpOqCzwdlB1WHg7qjFDIPPvDU
G9tu6qAAsYUUpBnly8rR/hyESARrpXgSCOEIBz/pkHoTBJtGTYu6RMewyUdtYgvZSZ7QccI0AjGK
K2QpoxCoJOzBpQt0EwrxSoKKJZQpXGz0P6gDq/FAyhC7JEL2MtgIYKjNYMwKGr0Qx+CyT7fa6y/I
a8WHxZAf8akN/98ou179mKfrej1LaS0NF82mHC43Fb3F6k0hLH56ntGQvc7+vV/6/YX+2Dy/8/WQ
b/77v9ZPSZBOg6oug8daCKKff3b49N//9QKkyrBbPuzczx/s+VP/9jrxmrtrnngHtmEV/jo4pYG+
ixfvQgKu9/pjSVGFY5sNWVkH4eS93o3Rr0bh9zf4Mpy//53ffvifB0FQfHYcBB3PZ25S1ojfEi8q
mA+DANisOpqC0Juf7OUgaF8xCApjQOFFBSVeIOofB8FiEJDRWS8Cxf17EIQvwI4PgobRgIxjlhA7
ihdX/HkMNFGxYk+4Dw/C+xXBwAHh37h/bvDvxYBvGHkMvoxk2269fYp2xVKh8SkvE2UfBmHbusiz
u+OTYIv2kkpDCG6ieH1aF2ky2WLl1F9OT/s3HfSXterFCOWvXesfbQ70xHSs4AzzdUn4NAji5KfS
UhPun3u4LpJW+u/MCXGb7ycFIdA2kizt5ZlHt/VhTWCHVOk0Egq9l2PAvv7ywXZ5EHBZQU+uy4YY
UV4/b5BAAFgIcrYWmbN7+CBgecvXtvOSIPLaHNa/lyXh5w2SB8FS6NuS0rWngyCgkZ0HAVNfUJRf
PQmUShYvdP17Owi7lwm2MNyENSu+6I9rgczdq9SKuA2I177OBuG5sPODgPG447D2/2JJUL+BFeBI
quzn3sC6+DPu+Y9PT+TIWAawoipGQrw+7Q2cLCC0szfs7ebwFeuihQzEUF/3R7HlfpoUwiCLpt9+
T4rdCyY8xyAeGUj/X56Hn4dCrI4ktBu2sq+naRFgtOPK4HxzAPR5Hl4H4dOkkIUJDW5p2r4OguCF
7TgI5jfTgoGmIc14fn0qFuiMUCvQ+tjblWH30pmyEYsfxVFZaT8uCWwOtFY4Wuzr3Ss7zwOsI0Q/
TNc/373+TaFRRozK67bx/LTt4Qly5zHQ9G+YPNH4A1J4ef30ILAgwibXdDQAbz9n4u3fUCi7F42c
DhBeGDo44tYVQTG+kQfM3kFlKV77Wjsqux8niSuWVZYG6/U4+WmbFOiLYyIt3dfaUdkdYTK+abjG
cKR+BRv5vj+skUwNUWHTUH8p0fZwUuwOOpvfuD3QEx308vn1eRBMfgausK+D8Mne9h+fInCqBXNX
aJn9GnbFgxqF9Ctxfv+eBOGYtGPBRK0AUYQtUX9e/T61H1T5Gz9kLxHc+n1eHnevHZn47BIW0oWX
oWDB/bAyADThXqwQK7qv2PPrcXcXyNH6pskm7gLma430CXLEmQv1qoUEZL+fh91RBu4UvA1bsJfH
YdvUMEWSC3XWnlaSr6v3Ls+D/o08a1Wz33aKn58Hxf4mOhHE2bycuPa2fPoKlIHWFEcn67Vn/3Pl
wFKJ9AgYWpDq9rKcxnF91/2C9YEvmyXyV+uD8k1smTrajT0dhFf4Y5dJ8dxxQH0kOJcftggs8xV8
DunmvxZW+zoGux8mbBIA6EnghftSQX6Cm7BDdsT/KLbFa28Xht3xFnISLCi1BoTb59fPTwWFA6pH
cRx/WYT2r5BUd4ccLOoCnbURUejb9/1xaoBPmjh90sZ7GaU9nRoiJ223mpr2hO48x1K8giufYDj5
m0F2p84hc18HYfeNAqGwgBkwn9r+PGD+ChJhYku1r9WTuvvpiuKIluxfxfSnRhVgA5ZDBKbK+1oy
CBR1t+lA5KFK9x5n/F8gcILJQRlNRvG+otKvUNAuJQNfNB4RkB1fi8ctjQksuiibnL09XO5eQWtg
sTQkSS7evlFSPtkGTXxc7vZ0YXytand4EkTzWhPeCW/Epp9RWKaDCdWDfKO93R12L5mIQYXRyrPw
ir1tmw4iJApDwb2uFoQBxc7LIw1LCmVBDvlQMcHu4gcWyql9nQ3ayxO6w2wAhMVWULDcfoFEMwi6
rMo09PZ1XdR23yEtWpbCg5NK4O1p//gkYP2pyiwa2r6WCdpLEbfLk8ApijOULuJpnl9blgTVoWXh
OPuNRBNIsOuSYFAQYWUItPiL2hkWNO0reJ97+zzsvkU8HyjRjr6tDJ8ABspGopRYOfd1edR3R1lM
AS0QcijMkcRrC7QAH5LHZG/LRn3nPQJGB7RWYDXtV6IAktgJqiRscl/3iNfNa5flURwlqZcEt+n5
xUP/8x6BiTddur3dKEVY2o61EqCCRhQXR8lfTAfoXWKY9vcUJaJxdhsEpgNcFZO2zC/IPeI8DbUH
XcDLTrqvy6Px8sF2mBSC6wWRgbLhdXncskeIwhqa094Ows7LoyZieoXdHaDj9pVBZnlUFQXbqOdn
71+Cn/+FX/pLmzvxg/jpWZVLiso28e6vfuFNjvr55+80t88Kuw+/KVS6L2/+t2r3fz6Kdp+5bO9+
+sZte36n179/vcXPb/7hzd7u6+0fl8GmXJePaPCfVcGvH/R0nSDr/d+Y/zyt3+sDhWJYoB1v/7Zd
YfzXivD7q2N7v3m70Ds5MkvK37f6Wb78r108WT9l5duF3l2cibPzxQ9EfObbdd5dm/po52tP1vG6
5Sup3q717vo877tfH1vM6tNXyhEEdPgLLp7W5fqPSVbV294CRGDnt5hu4j9Os3Lr+FMu7Xz9WfzH
NCt5eN6u9W78WY53vv68JJlp28UphXe++CLepOnbdd598K+Yrssmecjip/rz5QXJeeePfpjkmzJY
x2+X+vvTC9Ls7pfHJf3tMu8u/RUz9mhTbhlz0Qvb+VMfBam3ZSFQvmKuHq+jLWuYUJTs/LGP11W1
2TYmXzFBj7Pqj/9NvU282TYyXzFFT9ZPLMBv4/DuafmKKXqyJhxny7W/YoqKa+N+uOWji4b4zl/r
ySZ9yh6DbauXEOx+wfXLx83T24X+HndBA9z94hmf/e067679FdP0JNs6Jl8xS7k0Sd2bYcsn/4qZ
errOtz0tXzFPTzft+nPtaJCM+nYvO9SOZ+WaJeDtQu++zq+Youfx+nGzpXYU6OTOz+E5ho3bijuh
mNv54pcBpWMVPG0ZGWFrsvP1r9aPJUeCtN6yl2pfMUuv1ukfBxvCw7a9wVdM1Zc3KNN1+bR1IRMO
OF8wTOkf02DjbbuJr5i14ibmzIDHoHrc9h5fMX3Fe6yyddFs261Ee+RLRum4Cao/zh6CKt92H18x
mcV9nKzrzbbrf8V85vr1+o+Ddfmw3lYz6F8xrV/eYxJvf4evmdjiLvDvG9++2L/XVAH77/5l++ut
Z0IBp+9+cTCMrYP/JZM5qCKC7Jq3z/luYL5kLmfxelv1IGDv3QeGwmRboLmwMdn94vU6Dap43VRv
F3s3NF8ydQXMsmUfFsD7zp/+t1nvvzHP+5fQp+vfBmDufPWGlWDLFi80ZLuPy+9zU3b97N/5gM22
uSr893b+8PdZvGWdF6SW3S/9awPj34/JNlj2L23yZ7D2zdhw2599xKLFbzzGm3X5P/8HAAD//w==
</cx:binary>
              </cx:geoCache>
            </cx:geography>
          </cx:layoutPr>
          <cx:valueColors>
            <cx:minColor>
              <a:schemeClr val="accent4">
                <a:lumMod val="20000"/>
                <a:lumOff val="80000"/>
              </a:schemeClr>
            </cx:minColor>
            <cx:maxColor>
              <a:srgbClr val="FFC000"/>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85000"/>
              </a:schemeClr>
            </a:solidFill>
          </cx:spPr>
        </cx:plotSurface>
        <cx:series layoutId="regionMap" uniqueId="{94E14372-730B-4A60-A0A8-7335E90CECB7}">
          <cx:tx>
            <cx:txData>
              <cx:f>_xlchart.v5.6</cx:f>
              <cx:v>Amount</cx:v>
            </cx:txData>
          </cx:tx>
          <cx:dataId val="0"/>
          <cx:layoutPr>
            <cx:geography cultureLanguage="en-US" cultureRegion="IN" attribution="Powered by Bing">
              <cx:geoCache provider="{E9337A44-BEBE-4D9F-B70C-5C5E7DAFC167}">
                <cx:binary>3H1tc9u20vZfyeTzQ5cASIA4c3pmSlKSZVuy4zhJ0y8cxVZIkATfwPdffy9tJ7UoOYd+pprnuaW2
00mkhVa8AOzutYvFv+/bf93H203xrpVxov513/7+PijL7F+//abug63cqDMp7otUpd/Ls/tU/pZ+
/y7ut789FJtGJP5vWEfGb/fBpii37fv//BtG87fpVXq/KUWafKi2RXe7VVVcql+8d/Ctd5sHKRJX
qLIQ9yX6/b2zicX3tEjE5v3ue/j391epevdH4m/jrXrnpFVSdu/fbZNSlN1dl21/f78zFn7/7rfx
V+6p9y6GX1BWDyBMjDPdxJhYhskfX9b7d3Ga+M9vawhZZ9ggxGCI6cML/fjy9UaC/BuVe1Rt8/BQ
bJWCH/r4/8OD7PwqeEB/THsw98MDGnDxAaLf339KRLl9ePex3JRb9f6dUOnjEyw6Jx1+/aePj4/r
t11k//Pv0V/AAxz9zQvwx0/7v721i+9/wd5J40ptjgA7P8M6x4Qi8xFVHebNDuwYn+m6RSg3zF3A
p2t0GOuR/ASYRxInhvAfMayjh2NAzM4s3bCwRcnTymb7EGOGDUYB+6f95GlJv0GjwxCPB5iA8Vjk
1ECWm4e0OMIyts5gZ6Y6towxuPoZYxhzovND2/YfkxV6BeJd+SkI70qcGMBOClZnWMSqPMZSts50
ZHFOCDtspGG3RsSwTIbAfL9cy2/V6zDaB0eZgPlBuRND/o84E8n2KEubcmKCgTYOY444rHDGTJPB
2n+J+XSNDqM9kp+A80jixBD+msbpcfBlzOCGDg7WruuFAFjwtxEd+dpTFTkM6470BFB3Pn9ikH7c
JO9WEBIcA1d2ZlgGY7B2X3e7sIUA+RG8b1LqMMb7Q0wAel/oxNBepckxgIbAGDZfi4JhfnyN/WvY
oDG2LM50vrtBT9XnMMY70hPg3fn8iSFrV2V5DNvLz0yECWzNr9hejM5M06AI4dEanqzQYWx3xSeA
uytwYuiuNoXI0qPQH4+bNGamhZ/oD4BxxwbD2uXUYBaGxfv4Gq3gN2h2GOm93zYB7D2ZE8Pb3cbv
1imQrf+8t2WAT2WCVcZDGDW8xps1NoAQMwiQISM25E1KHcZ6f4gJYO8LnRjaQHlv6m2xOQapbZ0h
TjHC7Imz3mc39TNqDfynQXcX9puUOoz2/hAT0N4XOjG0Z/E7Ny2ABfvn1zaxzhjm1MTPPCcHd2tn
M8fAhXGOgB+hh7iwN6l2GPP9ISZgvi90YpivNg+wvo8AOAXjjIkJ9vuw9QbAdQp8mIHGnvdkjQ7j
PPpFE0AeSZwYwnPI4x0ltqJnjCBqmgg9mevxkh7IL8uEf9AoPTVdo8MIj+QnIDySODGE7yrIQMqj
EJzsjFuYG4bxlKEYMsvjbZtYGBLQmOwa6bfodBjlvREm4Lwnc2JIAw005C6Kqj/Ojs0MZOiIPq3n
cZXBkG4GrkTX+cghe5tWh9E+MMYEvA9InRjii3ibJEcAG9gTrJuIY8Byd0VDmopbiIHp3l3RkzU5
DPCu+ARsdwX+F8D6axV3fvFQUfLHj8d7oELorQVCDGhOg1KOXtmmwRRTxDBD4G09vn5891M1AUQ2
PyubnrJUh3Q6jOtL2Z3f+PQTf/1Q/tfV+pxX8lsaP5T//Io0IACyKDKM/RVpnEGaiehQJnIIvLeo
dBjCvREO4LjzV1DwtidzYkBDNVoiVLypjkF9sDNq6LDDUvIUG+0VdiEo7Boq+tioVOBtWh1G+8AY
O+AeruM7IHViiC9lti3EJv7nlzbBwG1gyzQIesIbfOUdm4vMMxMCKRNBmdDwGiUs3qLZYcz3RpiA
+J7MieF9tYmOQGITfgYUNdThQlXX42tvbeMzjkxELTbyoqfqcxjhHekJ6O58/sSQXSbdMShMCrWa
GLxmKAj5YYd3V/HAaHNKLWu0a0/V5zCyO9ITkN35/Ikhe7ktjhEMmWeEPWaSn7bfPZYD3Oehtg8R
DCmpl2VcU/U5jOyO9ARkdz5/Ysg+R/Lx5ihkNDsbTkfAlvzsQe9RG+gMVi0yzHEl/RvVOozzoUEm
wH1I7MRQv4QTPMdwsOkZLFWom/9xYOYANU3hPSgNGS/oqQodRnr390zAeFfgxNC9KwQc7en+eYd6
iJUBYJOZz1TlXqUAOFlQGYTg7Mzuhv0GlQ4jPB5gAsZjkRND+Wqj1PYIVhlANqCw2uLP5T/6OGqC
DCKFtw2LjhbxdI0OYzySnwDxSOLEEB5qmo4AMIHkEjNgEevPRQF7VhmfmQQBvHzkUE9W6DC+u+IT
4N0VODV0t8lDei+OkiLmZ1BDDYVc7Jn42EsfEqjoYpSQodbrpWO9eotSr6C8N8QUpPeETg7t4h4O
2zr/+BllcLF1yunPUuu9xQzbuYU4HFE2HnmRkWFebafq9RraO/KToN6RODWcU1jU/zzMUKMJpQAc
XOdnz2svfaifmQYkoyBYHq3oqQq9gu+O+BR4dwRODF0IDd/Ni01yL9R9+uM5H8jZAfn4tk4DDJJQ
us4gGD7McUENgAEdF0yLjKq2djSaMu8Ow3x4mAlwHxY8MdjhmEi5LbZHiKgIPaOMMkb052rcPWcb
nVGTGpSMT6K/RafDmO+NMAHuPZkTQ3q9yY5RlAnHoTjQIsB7PCUn9lDGZ5BkhsjZGhV/TNXnMMI7
0hPQ3fn8iSF7VwHHeYzEE3BeREcQLL9eA4L5wHKaI8s8XaPD6I7kJ+A7kjgxhNfbenOUZiFwVpFi
ZhH9uaR6b/VC2QCCZjDGuEBvukaHER7JT0B4JHFiCN9tg408wv4MlBeUAFBo9vRKSTW4X3AeBsGp
xidSbBRETdfrMM4j+Qk4jyRODOebeHO/PU5LGDhyPJx2ed6rD61kNpSL4J9u+Et2ZLpeh3EeyU/A
eSRxYjhfQyjlH8MmEyj8AZQt+soZZQT9n0xo/0PHJT/TNTqM8Eh+AsIjiRND+AYOSBzlFCOcQSaU
wbm25x17LxOlQybKAsKEjA7BTNfoMMIj+QkIjyRODOFbAQdVlXg4zjLmlm4S8lwesl8fAuQnHGOF
bPKIFXmTUodx3h9iAtT7QieG9kD3XFVCvbv+JlR2jGovEyJhTMGdBj5seO2lLiD7CPMB2kuMMP+/
UO0w8q8NNAH/10RPbhbcF9CZMSmPMQGsM5NBdy/A/8kH29vZByp8+Acqx54nyEsf7ePmLbq9NgP2
xpgE/p7UyeGevLO3UFtyDNyhzNPEQ2uZ595Q49oh6Ctj6FiHoxqjAt5h0U3X6jXE98aYhPie1Eki
XiSb4uE4mWo4YwOtdJEFHNrjaxyRgacO52B1iNp+pFuejk49gf4WxX4F/N44k8HfkzzBCeCKrX+M
FQ/HMxCUocARjfG5DAYnr4gFs+J5L9jHfrJOr8O+O8RExHeFTg3sYKOO0aMV+DXoxAmIktd6zuAz
gFu3wPMbQT1Zo1dw3pWfAvKuxKkhDLbyIt3k1bEKy2A9GxhS1Qc3czDhmEN1MOdPTPqIRh329Dco
9wriBwaZAvsBsdPDHha3vSm+HafY3xhKFIaqwVdI9OEwNLeARofO+Y+v0VJ/7LHwBvVexf/Ar5w2
Aw4IntocENviKCc9oK8B1aElifUUlB0qGoY3YXpYh5f+ZL1eQX1XfgrcuxInh7OKRJdWUyqC3laq
NHQLJFCIhH9cnbAXp+EzCkesTegyNVrgYrpOr6E8GmESziOZU0M6jTdHqSEeWvhCDmWoTXp87RFx
0JbG4LCc9+LxyRq9gvKu/BSMdyVODuEkPUbWG3oDGoRTKEx6rfbsMUCjBjSLG61kaBo9TaPXEN6R
n4TwjsSpITy0aj5GvhvOARCModnns0s2DrTBIafDKt+rXPk4WaNXEN6Vn4LwrsSJIfwZKOrqKI4X
9OYFt4ror11/Al433HSDdKqPDvO8QaXDGI8HmADyWOT/Bcqv31b28y44d1NuZo+3yL24sOzX7z4+
IrgBbyT6fLjmcIn4U9pi+fD7eygLJeAXvywbHwbaOZrz2M78xz68K7QF2ub39xos8zM41TMEWfqw
7CmQKc32+S2w1tCGigGRygglA+WWQDvp4Pf3Q/ETNCSDmAzqISB6o+DQqbQa3oKmGpib0B8WmvkT
OEvEjZ83/d2kceenyc+H8vznd0klb1KRlGqQBpche/rcoK+pm3AgCQJEC7Rj0Ntw0C+739wOZ3/h
GfyfOmuVmfgBuVatoTt9Wy+bzshdFBJiFzSfpwRXdlF2Xxjuiat8474g1lXJu8g1dU/Ow9YzFmUR
XJZNqtuJnqy0UC9sq88qt1X1ui2ocg1ewEV3afWt48nXQPizTsa3kREukq68wATf5lkW2mHeVTbP
sLILhK8SGZm2r7FPKuKpE3NZnveN96lPwy+mHzA7TfvWoa28Nn1yjRo643l6weJ8GZk9Wfa1VzhV
hC2nDtqFH/UzbGXfjSy4rRrfvEh8b5F1xTdLdDZX/edWydSOsMQ2wVFkU0MmLsk8R2/TymFZ8LlB
1V9RWxtOEAXnuEoTO1OssGVACrusy8QRGVlHMr+II4PYTVF8z+sA2a2Wlk4fW9dCFpnT+Pl1aNbZ
RSvLaF4Jz3eZTCM7Cgrf4brvrRVNdTfgVU/t3Oi/W7iO1rXB7nsBDzfzZPABe51uB6rYBqXOV2Ea
L02uYdvDWbcIEmVdK9HKGWMNoFYFhl34pe9Esm3s0E8Cuw4RXYi69W1a1Oa50TL/g+4TtOiz0Ldz
X8S2TIhvk6ZJbSGJP9O7ODwnpI1nmhB4EQZx75DesAltTZgCaXouPQ+5qO30RWwoMTf0zJsbDYln
hSzxokyJnCUkvEJJftmX4XWUoGXZ+b0rpPXd60Nqh0waM00J4nZVF86Qx7pFVPnxTA8DCx4E6mas
yPmiDKlvh21RLThWtS39InN1gcRt0jBrUWVmMINdNzzXdc9z6zomtiJE+xBDZtuWPfzSvKXUFlSn
c8vXSifsGsvuUj+babJCdhRF4sJUqln4OLjrsLqpKj2ZBZrV2WmZQTM0pWwRUNPucm5cZFwR20ed
sLt+eEQCJ381ygw/JYFAtgp4ct5ViWfj1k/t2EvQtWkFvh1kvWcLeO42KbTq3GqYsIPGaCqXVeIh
koLZesi8We1L7Vwvw3llxjPPS7jdSJrZkieFTQwibcsIK1sLG8stMhk7tA7phx61H8K2uqWNjGYK
h0g4MY7XERymODej/HuZ9N9KVAfzMkOVHfO4WAnUEoe01I2LnC5p13hXVGP1wvIS4xZr1WfB01Jz
9bJqvUWAW4RsUWX3DWjFei2yvSCMbWUF+UIT3R3SGjRvA586es0vEonprGk6ZPO6WsLVkZ2dsb53
ytifiSTRLjRDPxeEfKpVWDrKD+5kHl6wMLlpmHI0ja2U+ZfH8GWV0vrPLoq3DS2vWkPT7KRAoWs1
VXNVKZacc16GtihEZPuRfoXh24IsuKxr43seWdhBfbzSGx3ZNWefeysxbBH2ll0q+aCY8m1PymUa
dh8g93FVmUI6aVATN5FWuogEqu22Dky37dLWrgVjdgEfTxTOHKaIOe86gBDl8rrS/I9x6/2lp9XX
zIDtwdKz2mVRcSkatGkjSmcqIr5Tq9SfowotkCB2HhnFrA4VtlmPpB2reqWs5ksF0bzLNOOGt8yy
U8mSpWWa8MlSD+0qimsnK9PLKtTPY6tOnNrw5qGe5teCl50dxqFuay13yxY6Ins0ss1auF6A6dfI
q6Q5S5N2leDyPjXYMqnMP2NPmkshkR0W/bcW1YVdpe05/Oh4HmC9siXq3ZiydRDCLsNTzcZF40Rc
S+06RedaTs+7JndDLEJbE80HsEhXMVbE8UT8rbT4OUvIGvnZQjPyhd8ELmDqtDGCP5ubwBLCUaL6
rgS7ifOmnNVptyylEcwqFjuaEX3wpKeBLaicmHSXQRl/kFxzkQju4sifBTQ5Z1WcuJUUd7EonQrT
wk48xWzZ9eeeha5E7Fi6am3FsUOwvvWqpLPBjmndQllYWTdCRrHj0+RWF0Uxe3kJ647RvU/BaAg/
eL5h9+cf/3OXSvj38VbWv/9yuKD37z8ttumQRlXjDw2+0c9P/X2z6+CL/LzmdeThPN3y+4r788s3
X/eNXno5JiyDF6fp9tyil30w/3aonqR++EUIsszDLb463GBhQmdsGPCnXwSs9VDXD40BLejjOdw7
9cMvAo8JDVcY6UPzTrgcA1ymH34RhgPyMCB4MhbktKBD0Vv8IrTnFnGoK4fOZBSoFgLZE6hYfOkW
lT1Js7yq2nXSED6rGy/I7JSELHIi1tQfqGZ2F2FbJ9FM16Pya5ka9afIUG0OcyzJv7x4ege8tKET
y66TBpe7wPUPcH2eMVyROnTyeKmNkXRZxIOqXuM8QWvwZsCsVCylgdPWZcrtujGqr6zONAFbk1Xm
Th4WEexqvWKGA+XXyQMvS/0axggqF8cx+tSbmoUWHTW9Leo01M5/rTEGNmJPYzhFBx0rwFmFdp36
SGPBAsC2K9ekNX3fpW0ff6qBuiLzknWpadddC/u3YJ5l94wONjTSyULWRYfcok7Lh6BVCjlCy0xX
wfXWtV3KQK9tVpiw5P00DG6iil9IxQPlApfCP6sgv4zixmxnQml0JYqglotf/6p9GKAQXYf+hXDt
CiTDH3/0C1+ZdZrfaFms1knp8c+pbyFsGxGGqZElVXvTtAX/mHko/vPXXzvMtZcuOpwTBx+dEbj/
A9pDYDKo9eJrTb31jUz5yTqxerRGUVCtE1U4wvKCz7/+Jlg+e9/EoaCHQSMROJ9ujeZZlhhdnxdB
urYy3djkTVrEC6+0OmxHWTDT82rw/fTOSp2QmI38b5NmmBS7PxQmCrSVM+CeE+jyOv56oD1F4CdS
rFkemRsZVuYmigcdzF6qGS3S1O50gH7RgJnAYDlTti1jrpYN74yrlpJCd0gTppETskR+IkWGiRtY
XbfNtBpcRa2XzDF5ahTnJqF9Zf/66Q29/Mf6s2HbgGQa3FMMvfF2gdJpZSam6WkrVHlyI4oSPAuk
RSW4G6TrEv+iCUT0zbd4dtX2eTCnqdEKB6OafS/BLUqdLvCZY6RhvRUFYQ+1mQXs4tdKGuYeyOAd
wiQaEn7QkcJkkBJ4OZ1oYQm9CEqyCo0887jlljzoF23ZEj4v66pyijbXP9SyMys7CALmFChZKFxk
4N5n2IniXN5msSlbm8WN/6UJZbrsVFnamZlnn6iKLNfLE8+p0jAUtihJ2NheqJJ1k2nqOtd6MvN9
xMFT6L1EOrgO5LlJy/gWh/6N3yWkteOK5evSy+9KLDXi0hrDgxQdhr3BqPre1hsrvIoD0/rq6ZVx
EVCw8b3f1txp9MAA7y3uxFKzik7aTWf1LmpMze3D9j5Tefmx0jUWgDddsrmn8mppeBjf5QFqooXH
NCTsPoi8b9BBrahtkeTaX5Vk0s0yhZfgSGdLlPP4QdQZeOMZkdFHwb2W2XVu+BeFV1ROB89hgQzM
r/NGtjOjKfI5QuBVzWK4ERfcv8a3cqfGgTeTihRulfHrwNN83UUoLc/B1ODGSXQIjKySxX+2Ug8u
ccGzjyYpzUXFQw3PFZX9xqJpMVN6G/bzOrL8uda2+garuPmu/CwznR6X4LslPq79eVuGKSyOppl1
fl1Z8yL1AjcuiTxP4KM2GKAihQcta2aHKgw1h3kNs1lqtr1tlLHnkFJL5KKg0cw3qk7/0BBkuEIV
emyHMJPKOSkbrhYtYe0Vjfo+9j5UTV5KaXci7pLiIQD/E/dfVaO1TAY2L2ArT+9xJ8MSguiqrKpM
X5dRKaP2gou8X9S8Kr2lLITI7BDH6UedaWQZdoRUTgUYeBCH6bwFuKRluYnngT0s46jJZzRqfN0p
4hJ510GuU5aeRx0Dv7NrY15eUVUSmFGNlyLVOBXYwjnVgtC7rmHpUN/JrcyCCUciJedJLApuxzkY
L2/W1oI6mgfZdogBPT0x4IJlCB0ciNgbb97ELJYz5YFXMAdORfaO1ZuwYyY4MipHBoUW27XqfHWj
hCblLPWF9V2raiZ0V09xuRCGVVlrU/N87yIhrGRm6CStyvvuXEFqrwhmGTAfcuapus/nvFCJmHcx
ld25rpTMHBN3sXBYa3bxohC50ByAFX/RMtkjF0r6I+nCf7p2DeGBpuCRJ8mXUEoul6TgZTyLgpLe
9lVJyDzUUowugyaA4MpmAQ7KhVfUWfIRjDG5CP0eA4GRgQazFIK5fmahtueOFXZZs5JWB1Nbg6VS
uB5C1UVBTDN2fY/4EOQmNcApmAL/JOlD0m/jCDIirgUKSJd0MsiXSBfGuS9YRB1gY3LiilR4bl95
wAhpTZHxm9BrQsMhIg97W2Zhr13qXmzMUeb5JqjLWTZDXdCnSwjFG38WcSNo7OFzNuKCJzB9fJI7
bSO03i5bof1VQB/VTrMFrCO8Rn0iemFbtaGRuy5ucLWmGe9SN+F5uTKrBEySr1gEAlwSeFqeCFDy
tUdxElzkwG21c9WYvbhEpV/eGSE2N2YLMYxtIZi88yppGZkp2gtQvkKhdGOSR8qxGm8GbEb+NW4a
8CxCP6w/KpM237IiIOc1a3xvZkWmju3E8mAcM07Ddp4UNVr3bUaMD6o00R0qNfhEQzVlOSXqWDur
sQzFedFi3CwT5it8LTTGPyd6PkzOMMzVgsUqUDdtZ5SWo+cNYBM0CSiWKth0L8GC8c/E0mF2S9gl
Cxea27TpslTcwzdhUUXRLbYSbixbI2yqVdmWg/MZdO2NGWm0naWNhK8Gwq6HSBrLsl/oERt+/KB6
A/sT6JVJtDbMBH5FlZvwqIIojXqHRzUsnSz2I/EhKRgs+aICr8CH92BPxWUSXOfI6IrEJlmgA9xN
0VYrqQUZMDV6lbfzFro8kFlX53jYNGAxOfCLYANpORr85DKRnz24qevCqoWwbCsAlsRpO59umoSA
Gm0RdrekbHV16YObG16mWRKFHy2wFguV6Gidcz//CkXSNLcDIxD4IrV8Xl16QerXblewvAEHtyOL
DMNjdXSWd/dRHJk3baX09DzXuzr60lDpK6DRNPm96/mwh4g8DlyIAywyE7gL1Dyjkn/RBsJVNpmf
28yAba4rmuBWpKW65DIKgY3DBfZh24ObBe06wPxzEWq1P4txAsuk1zzCl0aSonwrYUPuLuDmC1gb
zbBjz0JTgyfa1n09AyPT5JeogDDa8Xhc1mBpSa2D652HfxW85ndaB276Rc/LAj2UKukU8AOI1UvR
YBiqlSjoHaPxqb/MAJbG0SJO531a1+Wq7Vj8MaxVbltMnRuyBRKybyiAE+lI9YssjtJ0ldDWuNJK
3UhnQZ7I+tLvmixwLFPJ4A48EfWg8wS2Edg6gQeMAtUomze1lYMV6PKPsZ8j8SdKe2LVdg8eWPcp
K4nGYTDlFbOAaZF/oXlZ8y3wda12YqZotBRcRx9apXn9oqhyJWair2CSClyG5KaN4t5cAwEXx3ae
1TpdGSgwWqcD70bNmiAD1BorEb5d9EzC3qFUPANmrS3cOsZWseitHGZ/ZLQ+czvgcJXjZYrmXxqz
Q3dhUMBcA0vHP8Ncl+om4QmCDRZnPJxbMqCN3VZfsVU11kBT1uyTiZO8cRvTL42V4QEFdJt7ihdg
3GFGzzJBAE0IHLr2SpAySq9YkQXkBrd6TJdem3L4XW2r+auo0LLGlcqDPQO8sapcxcAFQRjJI3+u
AisK3KbV9WWXG7DuO0hWCNvwArZ69Eqf8zo3T07+U2LiJZfxktqYwpGsxH2RqvR7OSZJdgb6/5xJ
+dlO5O+EkQE++s/mRHt0yt/3DbwkYZ7yU4PkD0oFmkASICygmysUAlE2XCb3k1KBgxrwFoY7BYmJ
zKFxzTOlAhUHOoNDm5BqYpCeenzrB6UCJd/QKpjy55IEyA394JR2EIUU2/Ofd1JNQ1uknfDIBGoG
rnJ47C4MDM6Q/HwZeGiWRqKijdPrqgMHcRXizAzXcAlTiGdlKeMbJvK6dGRsrs0sv6kC697wg2ZW
YHlXoziFTUZe5bj4GnfpRaySWyGFW2o4tUnorYAcXWUthH4JA/6e1L5bqOgq0JsvfZhsuQD2L60x
uHsRTT+Yfj9H0gjtoI/tygsiFxuVTeIyXJWVZrfUMtyC1An6hrUQyN/Gj+eNX1toCVdZFOICR7T0
FxHSDIhFak4FOCEE/HVP00lm0zpbMsHkImf8gsZWb9wRr4SF48kmrFzO/cC4KkKhvoaNB7RlTSSe
11UdAjFehZdMJTSEhJepGkh7QODClVWE51HC6n6WF76ezyQ0g/XtuGm/VRRc6SZOvrDMrJwyaBZW
zYtFJugm81LPZU0OGQErbuakSlfC03MHq9Kws0DM8t6DVBIns9SrP2Hd+6wV/bJk2m3NpJPUzdLo
ErfWgHBvzGte0862MgrmBd92SmwyLb2EOE2D1Ei1qlgCbqKWnVsBy2DzQLd1pS0hVp4lXr62/Ow7
Bh9fas05EuUF2Ltz38uvfJ6sJW7XVVp80zt1y4P4HIf0U8RrNzDZuYf8axrUys7j7GOc9TZLhBtn
+qIx1W1RWi5pm2VIjS+SUVvn1oZb6iIGF8SxJMGzkH9PUDozYromTTVrUmthZL2DUrXyhLrhwNsV
qndZZbmZhmYJC9Z9Kq+BL7C52QPHYpyrFn/pm3RV49CGnOAasHSysJkDkbYOvXStCL/sIQUAhRQX
oRkuMqr/hU3Ys0W5ykj5zU+tcDZA7zN+ZxRAaEm0sGh7hWpV2hXX1xWGqCQP1wXFH/Kuccpe+2QG
ZBmHA8JV6maRXCoErgm4J9zLt9xQTp3EX1gYfEr14LYMtLmXmVdwem+OK7nWwzq2aYeuGqP9VoMS
DtgSF5JuV17dX1gMORD8X/kMzTXRXjZtsEyVBHPcFduC4duat7dFF3Hb82vzAzOLhaBNsKaesepM
LK+LWA+XwJbnAVjGlCAwwvC8zDa/1ql51SCYUhV4gnGtNCenTeZmij90frvWW+kaklwx4X9o85K6
bSbANsbMJXn+Vxl2MP0IhTDbW7R53c014v3VF/Gq4W0ANrC6i8A9JhphYERLNcMpeOgoSjKbSIM5
WlC0TlZryQwHaOUZxq1RiAKSB7KEjCEgXocQNWTaQhkQytdhep4FkeZoioXzvEWrMqwWkecP7BCw
C6qawewAtDAubV6pmxy8WScx1CUmfeEEnbqMpbg2vOiK5NoCkWYmab7OMBZ2k8v7zJAARq+5uFGN
G3odPKySfjBja5mCN+EWaUjsJPIge9a3paOFlZPqmDs4MCENLrIrKeLKjkrNkTj9swRW0u6wrB1N
9usKkVUbiQdKcqBQLHzuZYlptyII7SSsb2mCP5ecXmimf25pVTwHVy9zdNGsoJFhZ9cG7ABSizOH
A2fp4tyr7EZk+Tysuqs0R41NibiGoOtTTSvqBEF751MT5jvQIgmkTGsruvYgrnaCXEaQwQw/8Vom
DhcBtw1Ta676lMSXgUkj5ygewv8+268Dnfu67f956e6+6R8Ef5h+qCiCS1TAhMMqHypJgLh9YfqB
a9Kh6wLEC8Ajg9X9YfrhKgcKVC9cTgsBClAb8NYP0w8nfsFUI8tElk4h+fAm0w9NL/dMP4wDvTIf
74MxYNxd05/7XmtqsOddg0v/uUk6NK9J7mrQDNlmoSpugAr8H/bOrLluG+vav4hdHEASvGwOZ5J0
dDTLvmHJtgwSHECAAAf8+ndR6SRO0p2ufPXdvPXGFy5XuaQzkAT2XutZG+zQd5F4DcmAFStsZYqd
KE5pB8pjdKb+ZBnoEDgfKnNL8tKMTZwrTtdsgCC7swRARbc17SEkuEwTIwpZJlMmYedfc24B1/VR
Giy0OkVD/JSM/ZFVVb+LsMSkcShOgGrZAaLrUdfLSzlHGyoxPChRrWnk1MnBc9nXnkyPS+BegRY4
Y+ldUsNKL3UV93ZriJVwmJ3rdq73q/RsJmxyxdf2U6n9k46GEWKKeXAnVBJMQqgyc+SmQCi+RKpx
Dlov2DYh3OwSsbxHInqHw8VzQAQmH+V0kyzBa++L/jQYFEKwv94gm95VYhZHvM2vSd/dNiH85mDa
lsJIiOeFr6zA+EpUKaXYh0P0BtFnxwS807JyUht271HrFUvDsCG2w5441bdYzfdz1LCDm2Cz6aYQ
yslsbc5rJyqMs9zG1RykNfOf65LeTEEJ+8P3BCAIKtJ+mEFy9M2+ReUQRPozpAL0SoEe94aOt9aS
+Yq66zPFBk0vyziz60EvFo43JSq5rpzhuzVVmJbrxIuRG2hry9Zs2HbZd3XdpbLmyXGQa3UXNP4T
3N86HSAAHnxapZY1wSfrxunQpUliHk3UsrPW/XCybqfQ+DnNYQhFMXP33hPwn4KeYr2s0bo2bv1c
z+EAwcLQNHA0zwMGfXiIhiUPBXRtxxEXxssyjUa29yP3ESIxT2euvsEgPKCjOhHT4yteu7zky8sQ
1t/ioLsuHd6kvSclcCDdoToyb6Qb14yT4JPjt5+dIQhTj8X7NSECBRk/+C57kLEY88XYneMHfSot
3a19ky88zvu2uY7KGOYCbD4UKQ+d7b+7raAF9NwojcIVTEAD/Wty+Fcvcl4R7d6t1XLfYr9fJ+cx
dKrPum3fK4XtXRrnSi7q7Abl09Lzq3XucLVK/5l1QZ9VqnyEqH2FbXlMB5+RXTDEqJ1pcu598qmM
5yfM8bFpy1qeLU6iUoiYX0aS3M+Kn9mgdn6J+oXG0+3skftgxWfpyvpOjd4RpmuGJuHEhjk10Xw1
OOEXtupnSljG+hC8U3hb1fYQqC4d3Fqmzbi+hobSPWdOlzY1THwsc0PKpANebIMySgiz2VSrVzV2
pyCZbprAP1aufTY9AKIJykcmg/k4qHCzWzaUymnvwRt9gX4POKFpVWojut86/QIEAS1KLVBiVJBb
0CofLMG+zoeOQz4bsmX0dtQHULWtuFilUGI2ZLoIA3vSl9rdmWm9Y+46pJ4rDy6+AqxJd8Ea3XCT
fA0jD/dWHD35EbkJiORZYMDHTOtQ5WJb4lRl84m5D37S79oYu7o/jF06Am7DWVrtoZuCzGu1SVmn
oyzC/WYse/Bc8iXuwEAwn940U1XuGXOcHR/bexxvqgB2NR6Er/iLD1W18PqWpiQaijWA/tnVPkmx
ku4aMBhK2/KBS8uzWnmPfT31qfHi+utQOecICk4hRqwRdf0yV9OtSqpDF9LvdhFzoftyBtzkAjaT
A0qnMXSSFJJO99KB4mM31mdrqqMJBbkXXoVUPSZrWcGvjv0U3tdn1HNJMZApSHVjX0vUoWk8jV8i
7cjMGnUhdXuumHcbhOXnZTTfPWOg+vXq1Fq/aBhpC6PDO4PG0iQQtyNXCXx+WdB2uXZRWkI57N00
nFGgQth5DBaQR6V7gob6zGGipw2OKcO7sa9Js9yMcn3uwvlumPkF9wO+hMU8dQ2E1rByU71hcpPb
7008mXRJ9EMfrGcvGk/wYq6Iuzz1PgpoEl4iNuZDQvqU4h8LqeI8bqMlXUOCTS6qfWBIGhq/izIT
a2yOSuzQy/6guEazAx2I8Qi+WhSgwvZKkkZe2e6jgR+tpe7RaaCb8qjKVS2qFCilfwQAVedJy00h
gqEvGlehIAXzl7Kl3oHg5D9Znv+/dZv/bVXZNqLsz6qyf7Ygdb69/b4m++nHfq7JQP6SbQY86iuk
NYIYNdEvNRmy1TFgFTcAbRR4W7n0c02GgyAQ4cEIJVRJKLu2//q5Jov/gXmWAeq8CMwwSXz/r8gx
3h+hkg0ijlArQjHycUbf78x+ujCZGFqZW17r4UTbhNyofrmifSuz0KjnqOtyyXVz6EXc2vdKjNK5
M2j2VmnrDIZPe5dUQ4/Hdb3TjJzQRoqdbEe0ZXYFqQF5ZF+3E0lB3e4YFqUj7EA3YwNuZAi2rMqS
Sfa7Lh5a87Cy4VNSrSJ1MGEsjeHJ8AwkMDlNi2NP4dAvVZmtdK1Ppm3y1S9RMznqOxQEC0jELfer
J2BXe00CzJBNzwPGv175ddTc0KCHG1s/DCaohoJ2q7sbPIrWUzkA7Kakz0UAsrlt8TT6m6yivOSq
iZUuJPOyUPt6Fy7DmYbVlE6BSHZTa5fUKTVMnqqfD2oez944Jpnu5SeFqmb15qJy19wf/RuXsKvZ
6irVfDBpDXEaKy3NZoMOs8cVTlnpaKg8mn0vZxF9Xi2fyp0M0V3DpYaBWI3eIVHmvmqCB8rd3hyH
qHL0XQ2a9gCfOetlFR1kuI79Q6RdbMSVKeMJJSKw7MDDs5+GZfgd1N983MKJe9M3TW67/rLy8RyR
4dS31Vm6/hXVzg6L+8npolxYiL+yB4hqs7Aevs29f1/r5NPfLZ37ERoAUvGfWzrQcW+Yz/Y2/n75
CPHDv7Z0UHMxwXY7RBHMEf76saXDIL0ER6SC5keV9Ts1N9xmNLkgUADQQPH9cfmgG+OPifbgU7a1
5a8sH0Dr/tDSBVs6Aa/kAmXAYRa/bel6RkFYT1Tcum7LDgOA+oo5NFXBfIVtccU97o/Xi/HFPnBt
sE8Wc+k5AT/Ud18U8UU+OuOhXauwSAK1ZmyOgpSTSmag1m3KndnPK02dNJaRzZ156S6SJS9VCP1l
UkGQLa69gg16rUJyoCKB++VUe7kOLyVlIrOS3li14tkSzXQwrT6xjqOUJOHJUjQTjMQ3aIufWIjn
Utf0LpnjJu9Vfadd9YZDHXq4Tex56tAYzKCS4MPHU9ZM9ibq45elhF3rBcFr0oqXaJmukgZ6W9w+
OmF3o+k8ZHDmnnqFWsPxQFiU81VsyX3f853HnE9+vWRMsp12ZZyNargeYvHqU8iUVQdNOlz20xL2
KW6KN93SMe2XtkqdWBd1ZKsUC2+bB2qJgCDItaC0N8U0TSsgG8hz8wJ7mAUHUaFmXWZznlvUKMzO
3j5s9I5H8n5pJp6Fjddnjm8vQRl99fXw2Jh1B3upSwPWXxYSoXXojjXc2rSMx0tk4qdKlgwV2voa
1Vjkt54pR7ylydq+FrsAvVTe+zGyIPZOLX2886r2tHhoN+wmL2r/KaoggEI+LrNIJLd8iv1zW8aH
haLrOZPqGBm+kT1X0cp5hoTVro4nkRIJJ05byKiBnuDM0dcqQgzAyN5PW1HvvQ7Sc9OJr00ciZzr
FRWz9HYthc/mImmi10ONljLtOv5FqeAdXsg7oirswCQ5bx7lMkkGrmzqCrTr5DkIG+AYKwWPXdaZ
6OUJavuxDT0Y/9VOUdbsPDAhxbosfuazaN1TM4g47UOji3ly7uph/pbYZlZZ6GIXc5XcW0lGbGry
RBzpZ5IMhyRCySb8Ek0ojWmOvOfBd1i/F2p5A63wWLsin8aucLcdE7cu7qPkRQQo/iuppwdkImRR
J2wpmthgR4YjB8bdeIVuEaQJwvY+gQMS+WWQgqk79kkE9Xf00q5RPG8Zx3MRt6agfPB2gRR+iuNs
3J3TBi2kQmuuVr+/K53qa8BmcqfL7p4q4sIXCdRxGPFZKj3D1rWmGIloU+baWzTVoHS6ZUmxzV7K
OLyuOtfNB5ejbOX4Avvos9beaRR3NSEQOxS9UNqVxyUS56Vs53TS8ynxxTcytkMqV/7WkW4oYig9
ubM4TT5Y3B9zKCE6yJDllXX2Abpp+9lnwbdJQeU5juhDaiHXTJa4DaaufFs35sBf5U1pGy/tA+dh
Gcih9yCBrLJ6dljz3hg8Mn4vcG8P4W5M5LFzumHr7oJNn34Ey/Y9mcScsQX3XdDGeyJ6VhAgfKkz
WJ1OTPbXjr+EN17fPTp1J8/LBDYE9BYv4sSW+WInJzNlKTKmXAG2YrqZVENTwDUcKYz6oVK4m0PC
vKNqeVWQElccxAi4y9XeiXKIUFMFCJV0k82G1bkPpDKIvuDBqqwsU2eKQIw1TbmbVugXQmpyQJ+y
TKQ6NQCsUhPIu44EV60YH9zSfSzDWuSeP51KDIArAmuXOh2FUvx2WDz12nyYT9GHETXCkjI/mVMf
RlW9eVZyc6/oh5H1d03wURNsbuh/rgm2MTs3b/r9lwNsfvWGP06X+TlMCP4dR7NGsNkxi5FsscAf
WgqMSkcrgaNdcZDcVkn82lJsBDaweYwDwXEWG2r/a0vhIYIIdfhftcRfqgn+wHxDk/QxLypEeN2P
oS3+tiIYzWxkhwDRrSsuipFihWj1w5fybzxkvNMfHORtTAl8bQRfQnxCgOWb+f2jgxxhjw5MbMzt
SPipjp8d9zYJ7+DTeeVlns6jV/z560EE/y+vuL2jH9hrf6GqBteFJmmAMUyBVyTpOgq/SwUT492s
BD1NOhzOUROW6RjtIr5KSM9LGRYahGmB1F30ecEIpmMUoINY5UBybxRYl2l1HYr2uad+kw3K/TY5
zfdkcV57izinB00mFnCoOUNx1K8tJEu/ooVqIYF1rGYH0kT7EbzfLgTiu2NDLfbluiCIiNYJrI6B
wWQRxCz9+sGZaTaY+h4V21USBgJi3XTtyBJXCYRuV0JLQ+wmJytspmi+K7fVuHRQQwjvMlVBitLk
2LumThvOrkTiYTlxnpTjsXTqP08WdExcgU+zY+FB7a01gc9KT1UdLim06HnnABTcw0G7ESa2D/FH
m6I+WhaxdS8R2hi+9TPQxdHa2AFccmY6tYjblpFrjUjIue8s0oqjtnmHtexL49LrKJpv4O+heKqP
SzPfqKQ8O25zXm304rUJEpQOFKgEoJzy669IonxrHREWc0husAecQH3lUzNc63IujFmPa1BfXCsz
GNZ5vazXM9gZQwHFatthDw7nq3FyX6TxC0IEQ0rSPoUtcpRltzbn2vSXvtFQuudzY5uTK5o4XeAG
w8RTcyoXSEjj1LgpWVuI2/GT1KtCkeuynd8N5mjMrPdt6Y93tJbrNQgH7ETUh8v4LXHmW1LR+9Eo
L0VNpQFlK5CO3als64vpnYd56neVg8siENKkNSyVTn+LK2NTL+J3PpuLxHRojhcvhyCQE+TctEH5
MQ5TFs1kP6tp55Iy1xFEf8/NhRAPtieXrpQymxHiTUHVTvfLWt1HJXYoRBUByL6Sps8WGMSPg+sE
Ga/V9z5AKLNM9sHcQ9Ir2xRplsxrpnd3Zle9iXKULag84+QIIjHKgqAuImdOvZJdqnq6ISFHJ9vt
Fzcs2hiQ5lJejaM4qHBKR6vzcHTO6H1yf3aOWCjuVspQnNbuiDwkmuYkeCZqzHw8IZls+hkVWbse
GgQVsan2u6FmQDxW59SM9nEc5ipdW32ulQCO5uacT7itS55khvpvieFvPKY3QrbYhznAvXlUKLDH
ucvCcqKHj2Xm/7qKhsNMsZz++aaX4hT7nwaZ/rEb3n76ZzHtIy6G0TfbdJsPgunXnW87OMDFEoTO
lsQbzfnrzhfif6ClIeSAgzV/IqJ+3vkCGKZIigF9ijbGKfxLOx8sxd/sE0ixecjmhNCmsAPDS/39
3pfA3hxwDmB1dgAQ5+HU6YLaNThG0yo/o19FEkFLrRTIDCeOM0S4wi4tZznyp5U3vEhsNLnnXvkk
7+XAFniDsTvdLTMV65tBRk5VOVukNX66tBPQKThryMEtOXIsJfra2JP2CAdWsXGv4W5UD1TrOVWh
3loMJ3YjeGSWP3ainZ6IZtzP2sZdHyqPgvbzOa92w9AWFjT3eFgrsJVtaOLn3pvgsaxcQ1HrEori
PhzsmpEeeyLgCdlnTTDQS9BMw6cA2d1PTjhgnQZbC35+asvb2PUYhcXH6xs7SgoMvrQdy2gdlVki
/GPP3C7rAm5uEMroznHUT/cIDVcFqGKfZDVw8YNxyjAzraSf/b5bAAXrRNh0UgZKekzrMMbu0cb3
DlxIm1nd1YdWxfZr5yM6UjECaSxbXRkqf2eSkA9lSgLTiCOdAr0PFS7IiAXfmT5pWB5e0UzlVBDu
maoHQVSVNiqsDy52SNcZhXJySJD78op1UGwfu9rejWrin4OkH++SeIx3vEW0CjFegjDzPJyTAGvN
RTj4Ni+9wya3YAB/u4yVwshj5SMqdEtrn39q2tF/XBID+TKNTINWp3fr9uAGvY7BeQwlP0pP8eXU
xTWZ36OZsvcEh8nuweuXu7auhExhjWFZdxCz7hwV5w2tx9cKjI5C7MZJsgjNyt8r10e57iGb9p9X
roPpkPb/pv+4Zm0/9/Oa5QfIsWICX7SFrXB6M7S4X6p1RFwx4QNLGdZIHJUAlONf1fp2qmiEIn2b
HwOpDsvJL9U6poJgyD6SZdtv/amQ/ws8Jn7PD7U0SAzqBzjZEu0EbAC4AL+rbLVBYhvxnvli3BPj
mIVwL8b9D1/KvynXycey92uiD58CrUUMPwMLo48Q1nbc2o/lswffjfNmHC7BnHBs1CQcMV6jCvw+
uFRQRqZcimhp7qyoI3re0mavisV+c4czKNascrvFP/nRkI2IG8gKMHPZFgCUCluDZTI2yNa1vZRg
JFvhIISWIIouHrQ7QNCpvMLK+H6pxwNk9y6tOmQlau3lIZEnQM+3Dm2+tGvz5mBYhBmGI0LzrxCK
vMzW1S0DYkb99hhXQNW9RX1XJgacXs95K0m8ryViCU7ntSlg+YOchiYzMX+K6UEGIyLm/SuL3CMg
dYgx3nCSS//eIqoKoxro5dq9lwNkANoNOhXughEXo9rBBbkGJTrntN/MytlvYBO7X5axPwXE6XKP
9MBgGepW/0ktVZv6tX5punUEjjZ/HSNyWonqd5IPN321zHki4yAPayydpVAPONUcHj0RumBrcNMx
YDR6DO7aOWGZncyrw4OdnUHvo7nDaAlff+exRGoejB8UWHHpBbmKZ0Wg/8k6bRvJDxFyqSm4epYt
3PRFPWBT8sCHwe+xLx5CgQEuZyqMcx/ODux/v32cuwTCCm0+OVKR1J+HI3YKfm71DKDMaU6jg43H
9SRJPcqumf4acLFLwKHV3exnZJFjloB1LS0GsZSSwrph3klRo3I9xXsbh1+HGsb8vCpo0OQrRVwg
x9bznXYQbxlBElDq5BH8zXdSzwi61O+1DOfMG/mh8rHDegvNBOsuAIW/eJwjQka0kwZNf2xrhKfI
pHc13eCdgE8ZupG5II6bZGFvLjCdnyZmMLWi1ccqqFThkeqBLVrmImYGbQXQAoLhAhOLsc3i+iWU
P/jBJiqjL1yS6aVxLaaTrNF3zpPPoddsQpEf7IKlgcIDSPmm71qVoWUbMqwrTwxJh56Ewwne0C1r
4zivBFJO3rJ8nniLu2eWUPhmfB9xbD81UfmIEgOqGHBognk5u0m5Tw1rn8Ya2tPibJYY0zdd7HzX
Dv2EoScQ7poqiwNvlPlSAoTAwI9IANYO1uY4+Lj7i5koWR4GfBuJTTz5GLLZppg3gbs8aZunBnnm
Y2gXfomC+VFK/+DY4b0DfFU3Qwv5dviGFI7UaEgZ7Hta75pZXxlV8xdCNCZOlG02Rs99Uiz7tVr5
dSeQHXOce2V4gmwnbyXGWnRo0iboxk68iBw5SZGNbRimFvcvC4b9IoIbMoZdFitn72CuyIBnc1Mp
z6OIXysavtcucvtY1iRoI2/XAY6cqvUK/u2bs5irWdeQgM0nZtCOY825V71XQDi9F15wnD3nHvM/
8shhz6DCP400zIXnXiUzu2BWwQV5NhQ+emdNgzDN+s1MCAFWMc+bUTcFIj9ZA0EzHhUwVRru1DCd
41gUSjZtimojRxM9pyIBHcbhhZSOc7tq9dzVSVOgW3wfdbXz5fLijO+hwZ04RfEuIBz8dtnPLVio
cq77DGyn4xTutMbPMZuWvZTKzziDfh3SQQ/nBk5GJwi0USuLeEJNlrV8Q3sbQQbUEhiotNerUBlt
QWTRoHtu5LhTen6d5/YZtvAnQFbBnWtCe8GGJ3eqlW/S946VCr4tJb1FgvGctAnLMVEFiF6DOCJY
fwrwFfpFZzuw0QgN3rCueqgZ+8J95WRzY9orZde4GDqNSSK9i7pTV596H1dxrh7rWvA8CZyTmcZX
g7DPA/IF3a50MKRnwPvDpBbsPUiQYQ0wThvloxnsrQNL6THiwZqvazIXTImwx1M+vpTJaHKi4+6A
p5nmsoUeEk3TYfL0vC99zK8KOrHuUZRV2dQOScp0U+Nhr8PD3CbeYWwmpN30Peo+cM/enk9kSoVT
fq0xNgJ0kfcI/uxVecsDQ815TIh5FQlmLBFmy/Ofb7soHn7Y2T82XRxcC+E2wnjfGH7gbzfdqDUD
zvOR5iLoXETeLaePEd51iCwwJy9//lq/rSK21wJqhebH25IiCQ60/+1roT1ftA/I+ULLomye5Qol
4r8MJfhvL7H9/w8SHLL+bTubdr4MeDDRPaXV9JkMD/8PnwOBePSPsFQxkuS3LzJWTbPwfp4vgXqU
4npxzs50/POX+ONlwVf1w0tEv30JSC6UeWSZL4Q+dHJn0SKiCunjN77+l1f6rTX7r4vywytt7+SH
b6ytprCL4NBc5AoNqAfG7Z9MdzNPxdSdbGd/agKQqfr3yZ7tjf+2yPNweCM8UbTAQRJuhPGPL4dm
crFKezOG97x6Gj1Z9Miqq7V7/fj+/lZJtqr5P/ca/+zevgn1x05j+6lfOg10Bgh3+SElKOVDD1fo
l07D+wfE+K2l+D1pRP8R43xkSBUQ/6GN/DhLB3OGPRwaAEHlp/mD8V9CBfzfz/UI0ceATcccE0w7
pOE2nPjHG0QMoW3CtQT93QaPDSwofwyvOjLeNQvcynlzqZiLgQweOfB15Xm3OVnl5mnpxZSpKweZ
xitkR0S0712CAWLVEHvpTHQEYdCDZb+Zggl+Vx+LqmixOR8TpnxAte2D2jw22wuaemK5cSQK767n
GMa3eXLOEiIjtfl07eQ7mHM4y7MLEw/nw4c3yFv113yLgIjIl0B1RhDVm/03bmjr5ghGFQa6WdU/
Vj0FQrTZhq4ajxI+Ykk1w7QvD5s76d4x7eMZkxKctPXDg4AL6Wx2ZCnHG7sZlDZkX8Bs8FSGZs0U
XMxeHbl37W3OZvWmgkwnDHI8BgbOEyQg6EDQ+DEPDVDwgvCaHYdigGM6W9RHiwaYDC/V0wBsExcf
SE3lcYTfisUTKkZfOPbawIpdCP0cwpoVm0ebrJg3lsC2VUxhHBZ8XDLBFxCLd9tEYOSZawow/rgk
QTyCgGTjMd48Ycw/uIfETO4S2MULbOOxp4g/b05y7VUeqhO4y2M8wWeOlCkQStNFu7nQZTN7qYKO
78OgXk1NgO5XOac9+IQRIMDmZssAA1voCOYsSjBJI0J8umCb/820i5IAljhzBE9FPeyly0/IBDyS
xL55m5MOWT7Vri74VCW58CsUxJigkA4w32d38rMIdnzg4bNYGPRJ0PGsKb3evQxE9w+0BJlB1VZJ
iFtLFHZxoPb+5GxF3VsiapEqODsovb1XdLE3agP1HUzky+s5eAd28T7F67obN6xfjrQ8YCjDlw6P
KMZW+lXWAEzb1cgDhD4brzrqnibOPw1IDNgtOhCKai+QJZDrOqQjQpU7vQUNRAPCVo3jWXOLx2d6
rFj5RVZoOvsAtCx3uofSBlW6+OZFIsnQSI0MELINAL/aVKxRt6MovSMWPqnKreBbIRLRIBuB3zlf
yymckIoXotAsUtnHBIRJYZSFl2wXb4HX7kZllINDfRkFB4VjjUnHse9Po28WUOAYjFettYT21WLo
5TKKV+ZusQ74FRcehRhgiMzHsoU/qOme6UajMtSvy8anjr4Azr8xq+VGr44bxyo2onXc2FbxQbn6
5uhu3Kuk1TH+IGE3JlZudCyWRY1+erxgjqBNBRBaouWBA6nlAqIX3yjboXU8PGkgbzEgAQzuRuMm
wHI18ZBdxD8wjO7CWZKKcXryAPKGypwEwN6EqIdpI33t2O0rB6mtHiom8lveeQIWXKOETAEyXTpi
7ho2P9MNIAZIPJbI4TcbW9wBMsYQmxMBdLyO46Om6EDkxiNjfmaQJkCUG6DK8cYsdyuIH18tNyVK
6gbOX7HMXhH7w8nfiOcV6DMBAl0DhcakIJQpw0WiV88oYOmyhOUGBPq1rTCbkkhKC0xx+DxujHW5
0dbaHx5FRa4WZxDF1OKuwSSrtXkODA8PNYl6gFobEVAJzGDZGIG/t/APudD9U7nwn+1Q9+//Zgv/
QSxEggun9AQ4RxNO/UYF/7CFf+zuIf6Qj6l3qOd/tvYpjtzFHxdCImLVv8H96D8QP9j8DYjACVji
vzYP7w9To1A/+Jh8FmwqHkI9W4L8xz2cqXjmPKDtrePJT6yGt2BN+8Vbw2MLAivlkQXJZooYtoY7
xTsbsOtkleeZdrBI5w5QTQ0RzjAnU7Hxdyx0d64IHuZ68gsaY8ruxNZrV5fopLce39PPNcWAzdZr
r6sQnfzkqEPbjG9dBNUJhsg3GNto5R2YCSxcrhY6fWuMh8cArkaOOrWI1gnxmrW3hYv2L1dduOSY
oKCz2CQmI6sbZVr0664X68VfwzD3WXtllhAeONOvAeZh5Rht8U240Qmj0oYcGh4iJ9PYwH4P0rDC
+LA+Ti6QPV6m0mIuLcXw0aqCn9nGcD94xOvMssEHeMZKsGTHgOndGosylRguAfFrebYVu9FxfzWU
w1WFz4Q1ukZK2veRsGigxrCuaHr/pvT8xxJmJchj02EnhMuqxwm5gAa8JSHBoQvWOoOL/0JDNM6R
uzKDJOska/agfT58xkSX53XLX2kEsZAIHvftls3iUn1eGMZ2ILTVbektYkI0pDMobLNluyqEvCqE
vQKJxcTUUEwjEhVNY2zuh5YVdkuJMZWgHxfmPkCALGyRNcP0mMzDTJgrEb3p5Q2Dc3YE8bNxDcTe
KAwJNqij1DB34jnxqv6hdduhea+Z/YYw8r0NsGfHH0RdoypK3zDn9Vzi/j66uncP6DbFra/K5JZ0
5XhakzIjCVjqOY4OWgH6ciu3ziqSrOeAW6gVtejmPeZuvcz9nMc15JhgEe+YxeEfXMESiSHXtPpX
R/R3q+KiL/7PrQpoSP0xUB8n1v2b1Q4/+0vD4mFaJ06dAsEM5QDuww+rnf8PRB/Cn1uPjXH6dbXz
MKYc4A+WIgwIjdFo/mznxji38H/YO5PduLEta79Koea8YHPYDaoGJKOXIkKN1U0IS5bZ9z2f/v8o
X2fKSqeNBGrwDy4SCWTCligFyXP22Xutb4F4QL/w7TRj/5MTC9DBH460CIwYyXBm4XsifMS/wc/3
frWzM3O2cwqiU9pH2MDcuiqwCo2K2OcAyJmWGBlz24DifpQurBwpSaxnPQ1JwwtzSXboat+OQXtI
rPGml8eLyae4L0PDdkC4wOKJZhBn7d2QTUcz03Z6hDeVd8eplhd0HPGo0vQeWTWjGS1ORktr8KlM
fNMeN4ifv2pIH9zhTaIfJXhgI3AH+EgrZ7bEuotjyxUp7R67CR8ng32/ScW0ggyceXJd3gqDyk10
Ev0/3lWtnGV3GlpaUVXv1rl/Tz/La1WDk0jTMEIYnplHOrFfZZ6umC9UG5jtjOjBqEZ8Vqax02ib
dxXgaqBhD0YgNpYJZ8EftHVo1fTPm2yrGr3u9YUFUQFbyST6GtbW+DwV/nPWjijGwoq+YPsYYT11
M5Fs6MfswGXna2Ucaq/uQQ2DkfgSyAIQs5I/lAVWeRRVmud37avhq/OxSabPUan7BwjOUAuhFTiA
qFdSbinXamPWnoB550Y6VVnRjPZmGJKDolc9QkYm9BCP63YNe9GdhRkhwTQLvPMarVAQeCsrRE8Z
2DNLo5o3l5NsjV4CrnRtcfjw/FSa3NYwbcrzJFxJEVy+SY78VS430QEtb7qx7KG9UfV+vuPgidVP
hmWVNKl8SVnOdjkkyWNRUyKClzYeUP5m102tVOfQUKOdpdTjRWX7CJamtGAghvrTkYSIL/whLxfU
GlKlek4x0mWy/zxakWR5IA+rXa7KVwmKrVUYDuUneeKD3/gAZp8k8BJfhYUGOFtsKEM7dasEZ8qU
cdJtFrNKv9hWmhqIGT6Wdpr51IdVhb+lwecCb852pao71osFxl/MMMgVqD0Xg4y5WGUEnhnRYp6p
UE/Fb3YafDUw+gInWaw2+WK6MRb7zSwShZ458wdzMecUbz4dVGvmN+OOkVwWi5kHIHx/Z0P62xkF
cIRwMf1IFvafBh/QuBiCAMF542IR+k/R+q1opVn7q8Wcjfhnyzhf9W4ZR1wj0/uFTfwNIPBH34mg
IjqR9J9p+LyZ1f5Yxm1m38jtLBZYkEA/LOPUs5SYeONgbX0T7PyDCTea078s4+hLrGXAzo9gUcL+
uIyPLJoA6HxxSubSnHZMrzLtGUVj65+Am2lZRliFpG4tf+GMd+HNJAKBEVSUOBk6VnEfsg/952TV
2a3wmCHJW3lI4M6PGukSffFZmebAZbn5PFfN6GUaMOK6MZDtBbDl/PgcVxC9Ap9Ob9YIp7egilnT
jPPUJhWDetUHvJmwb0hZvwrrNvVCg/lXzngB0+19rxhXkZZvjDSrccN7eT8zeab07uUMZWFcXM0c
Nwuj2DUMuJwoLQAmthJZEnDOoOHPn+24vjIMTPIdohrOmepZldv0shNzsQYlmHuqnxZQPKuvmh98
7mLK40wyV+30Ooyq7k16teolLfDSLL8cVXFf5gEdCQwuaDFht2L2Kd2kxNGsFdSis2XXrtKPB22O
4pVaz6+d5a+7oj8o9rBRTBxzZbFptGZVM7IjnaCH18novO611xZXN4SXmY6VQ9LIRQ66fdZBkMJY
wNRmgh4B724tnPc0LbcZFOixiG9TQPD4/K8Q0B5CAPGwyyDg6dlVzy3tFoa8PEZ1vmlRB60to9wr
evacNyHdKdO/kHv7Ah5lzm7p58aec1l9pYzkVzzFdRqoq0YrgvxKmtup3GQKzPhATuQHTHpQYow+
eVF1jbADBJ6R2r2w2a5RLQfuYPHHUTe8Inds3JitBpbCuG2n8Chy31phZprWVRt+HSQDEag1PRqy
fdvO45XSK09Qi5GPzo8RxBrX0BttZQbiS6SO+0EOpqc0rBJgMiWcYHz6Vg+jVsdmHuv1FbC+rVlb
0gX03Nsp4tdCU0DfMrBO/thg2QxnWge614UtgQCJYa9aY5K3s/lViQsBerK961u4g1kpVC+Fg5kE
trbRpQisLYDgUtE5RfVAdYrwJUiq2U27aV5bA81UYBMbVWoeo6HYFrw2bm7lI3LpxerezHSUODsp
MPbGQfj01aTz5EsPdStT6GgKuQHxJ90PAyiiqklHkX4OWGKoedvUTEw6dcU+h4aFhANdcGXpqIqT
r03YnspMfO4bAitSeknJFB/psB3KRWeNw+jABNR0VI0Re8yWX4dR6CBkGzbVCGyvRRflqDZBfon1
ODNyhTu2k5vgUUPRdjNLAECkEMEbDdtPphTejLSHZXt4qEIR7crQ3s1jdfADqzz4RfNgkI0BwvtG
MgyG/9ZJspurUDZeSzEfs6zeJgXP5mywi5YK2B14xtd9T7YECMigizZ1HNqrZLRzBBSj8dT0Dcqw
uLv2rR5yUJ6uyW85GG2TrP6ztb1tbfovzymPRfoTo8XyNe82NswGNluHzWxLLLqldxsb3USOH6hG
GZDgwv5jY1t2L0wJiEAtcmaoI/88n9CNQSFqWEiuMEkwEPlH5xPrx5Hbcj4ByyNA9qJuZcZrf9jY
2nqI81SNx1PZkoxRWq1n+vUttOzQjdWp9WYlL24jqHknFQLzTdP59VaSlW7bzb7C6Xykli381qmE
dtQ4iuEby4BZmvGrhhDVbVXZOIRV/wzXmIbhBAwjqdLxbAdB6WZZbrp25xe3gqySWu5MBz6s16NA
PLHvgTsB6XoN2AQ+gq4C++6JB2oU5RMU4nSbplq3iVlX4NXttMlCjdPV6xFILtVgGZ1S4otcnC9P
kmwMW3uw7vJZjT5VAgpbqE75up1p30hJPrpgLEDZKmwxo9za2woL2ikY2OdakMbboTRtrG6avS1z
WsBBYD4USDFRJ5FXswSUdBUpQ7b0OOhE2rR0oGyOFK4esvx2Al9dIK/UoN9DyDxwcLnj07xkAsOE
py2WiRCtmDwJn/RefB4NGqkMCO6DKrmv9TxdlWGAhSKIblrcbBztJM53ucJSFgTbZO6rrWRkr1qA
Cmhk3zEwKDjtnHNg0+N43cLuWof+QJyWPj9yo1ExGOUNYoKjSKdna462mo9HTpTaF39qzlKT9xcU
7zXzq1mmRreOGhhZZ/bno15wS1tINrDlzgnVDxw+iHbJC/jT2ilC/GHpeDLIt3DMUmnh0aDSw3u7
Qwems8CPjTcENslFVuuqmdgajXFRjJm1KkzNd3QlfCyD+UoIcYgroDnSCGIZ/jXnXL8gnssifeek
TXKsPYPI1aeduSxiZhgcJF/MFBBKTXGhM2gJTf1VapiKdBbqL2mCzISu2bdj/VLuU+YjdMZMnVEe
uqMLYAv45npcnb6sIIzWLaBLerKyKkB5jTSr17XONKO3arb2IHmp1FKgCIymVZRx0Clie01sR4y+
aeZDjhp/J02QgQNMse7AC+7KPKlaUF6neT7yZEM2tuxlGJTJt3noN7A98BwRooPAGro9AW4ZldTA
yVGGSTL5r9OkbjmE6YSR6bd166Nczuk8JpprmvaRYi3dDUI3nGygzAQJsgNWL04mIhsHx1EL1Coy
1mMtbnpwuK7f6hcQ3GC25ZPtypK+r9Mu2itTcahEquyqIuIutTbxOA8NyHNpCNbDTLklgFG1FVAQ
185q3EIJHcwJSVyVPoepztm15FXnNSlLc+SDzZ7KsNmPJrq8RMKVmkaKcuLguJyxpfA6jqpgnwsU
fpR1x77iSB7bxkqdoMmmOdRBDRSc45fj1QRXfbE6JdCwZ4sjs+pvZUyJK6spxGYKfJswhqqB5pQf
glA2wdZ22r4xgnlfxWAjRFHJq6IqyVmx6/WcTHucMg80e7WzGmOeZvVLdlIkbOLYyr2kLd5M4NhG
XD5WZhx8pTb17JDX+MqM49c5nlsOnLbW1s5/9s9v++cvj4b/joz8a4tPf3c2VCwyp2nWaRzBGPwv
8oLvW+gy6+DcqGg6ddw3G+P3Fp8Af0KRt5zXBGwSm8bb9xafhihBqMYSfoxl8R8G/LC3v9OssIES
scu6zpHQVPSFuPLhZCgjxa/rvDvOU+Iu7ZRgOUBZ2bcH5G+lMeiH/nohXbXoaGpMdlS6Uz9eSIGf
XRmxKI+o4+xPSVhJhpuZKacbBjp67Wpt3old0/jzTayCTVcMRdzHlhk8lkVs7etgsg+KibCgNGt9
PIeTdq1NRU9WwxSYzaFP4kZ76sfKsM6DX/X9OlYK4SE+i1jdpPSERhJbZFSWCDeLIe1615ICPCEs
evkDvUN7pVtzLTPreNFTMRxNUaYn0cll6iplkk7rwicfbmEISCn2apSaQ6Gd5F7Rk4s+jU91m9Cg
hM9CCMKZquhVb8ovOXADvwGUxk5HgBJnCKPYqDK/hVRGKxu3lp2t9DHb+dNUeRqhdx7dLg8F5tfQ
YgZQiqOill87rb9JFaYgyEzjRxPlCAPbpLtExlAfq0Y39mlkX5Z2hnFlJjYylyTtqyBqZAuiGjdN
W5WrrGcbiVJJX6mDdam19rHJYXLOqtV7QTSTT5ibnyZFekjVEKluHOoEOrYB55AOwyWPhZ+tYBFw
bhfLt2jVtYIe4hPCYMw3hpWH103QSySVKfXKHuXxQaQRTV0AF63TJCiThVRPdIfn68poMUVKivIb
uZ/KS/bxWUb6Q6ODitPUeKx/fMSqqa6CgG3j2Kyyz0PtKDeYLB3Jqdx2mwPRddghV9nGXNWr3NH3
sNxWUEPd5DfP+ocRIdYsqEVYgG1Dp3aG8fhB5qOPOAODhvQgXw32UxqObhJgTi8HoUKCS+xV1fuL
GdMASuVb8mVg1v5e4R4ZSZVRfDJp92Ugw+r81IIoXzcq/LW2LdHSzE8mGBt60BIa+nm8r9KSo12N
099sYs2j0aPijYwz5nIjVDN6u9AtYn+GtWD5DP3t7cxxb1LVjRC64uDEWswygp5Cvo1HAQJIUA3J
5Wqgwan6SegkeaR4FKSM72I0Aj2jzJGqtQqA+jVa8CngpKto2WU3WkA+rJJIAx40067ov8vxb9SJ
Py4ifLI2JYSMSw0nBe0x+8MiYs/qYJeZD62vz+INCwHq/1qG3xGFK71AOiOqgFbeH82+8zf53ntc
t8oR591T9ddrfrib0tibdZ8EzZGojEcdqObYBYU3N+ZWZB3OSJ9+uFGXjolJVE+hGcNMmS5mQkcd
S9Ivish6kGkskXgiffUTsS6r6lItjCvZn1/0oHrKhqjyKsxuh//syd/atdyBP+7gXyDx3mv6X0cm
FK9/3ZUh/fx5sNX+xYzGxq/4by7Zn7uySmw1vX6aud8FA98PtkLFeCTTzWXzFSg9F2Pmv3dl7EoE
f1C0kmysMbT7Z1Cyj7uyQFxA7rEg4M/WxDc70Tvhaut3EAvnXD3npE/KSXRhBomr9dPq3Sfzs2f7
rfH7QbJqLxNGsAckqukf4UVkLSW6FSbDWYdUvGuJ9hArfe72GUx5sCxBwhnIJGKyLU721F1USfnJ
VIl2KlF0uQOJRaukVpJDX+u2x8iD2LGpjRzMj4vYoX4YmpJzshXSuFxShMMmvSm5oKuW6bmQI9o8
kMwdq1IrzyKhw9UIwHWy2TpUnMIxSiG/gpzo2bqx1XCfrH2jX6tCb70OuYHXJCPVgLiXLPMSHTke
d0V7CEVauGCDbsCWXEvZeJQk/dhGcg9SByAASX07sjuOg5+xF9jKJ1pXqSMHfe+pS2Os69srIkDW
g+jubat+VQPzKcimx3qB9ySdSdd1is6ALA+GmYESNPWtYfucKYCJulpdfyqMYBstCM80DA+kVj/n
Q5is+0wuOdcjT0iLsfQklhAnBZ+yVtr5SclAWs8iPgmLOdqCOJA4alRG8sRu+qlugktOmp1TKNO1
WXUbhr9beD0SecvkMg1Cg6pOtBriZv1GmqhXsrayXNN+slu4OezOXcVQselE4vBoexZjB+5fvIGY
89WCYO8ALL+U+o62X07cM0Y0V2EPUsHHjxPd+gHm9TpR0jNZLPFa04bNnInLIPADp1XExu75bMOB
rUIy9N4rK/uJifEWNdV1kc+Tp83NXWSg5gvI5XC0Nr1phm5H2dQTLSC/yGR5O8Ew3aVRpJOaNZ9U
WgHEBsc9ESL1FyVVv6hDSlN8VLZFau/Q6yp0yIcNudhXGSFro1kYF6Y2566R5i9zXD6EZhO6QJRv
6U3HnqjMZDt02saE3KriESX2loQQHjEkgmIIV8oYVp/zuAg4YllSO7m6MVI9yNDFAVWoWIm3pMzk
nmwOa8Ua4PpV9bhPUx192qSAYYYFILQvg2zvIh2i8wy8iBzHsr9LdG1J4h0UeXb0aGk5j0rkJbG6
06DvKIRatwuayao+M2G5VhLplSZc4lR0TQuexttJBbQcNC16xMErhkTZSZlOivTQX1g1A4vF46FH
8Af6po8W4N/waMRmsxqD8jKIZN9typGpzhLJ01yUMVqattkOQ/tA4hyGfjt2+1gmuai4TAxeWS1P
zvR5D6kk7eY0FIyNw3A1jxPx5j2k9QH3djyAbB875TpsDSxF7WvC7IU9kSRio3wY6hWi4V0oasKS
pO1kmJ/HWH6adU4XFPsNrIGnlNP8gLm66/YlAIlUovePDU+lFeGFtoDrQDLeoIltj+mrVkJmCHPZ
bzQzbteygm0y6MVTLuhVgVv1fKmu0eqUm07JT1MxPMKUJ/NoEndtK1uXpUQm2+0yzQ4sUftbiCXY
tX6zjP6o6+alIdAeGg1cbziVnPI+HKKapgG8MBnTeaAOc8TG3483xeUuBpn8Ob8vV8kOka7jH5gP
dF680Xa/vv5Sgfy4iHN5G2c/XURVBwvzY91b+53eS0Y3n3vzc+nvbBlW//gkFb87xP3sOqr8DZQD
ZeDtiPduV7Jb9qyIaKSzEl0QS+qAULaD3dA1vyugf/L78HmyByogTRAS//j7VJWgJ6qE8tnQD7WB
UAsD4O/8OuJn9+z9L/PhIl0oy42KhOvcr5s7lMirfit/sQB6OMUlRP/Aua5XaNDW6vbTkQ6Qc+wv
o/Vds/JXV/F+cLZoMS5aj7/oFWv+Xd39+p6qH0rdt2dKgCM1NV1jPvx2yHj3YafEOzJok5Wz7gRH
/0peyZfKfbAnERGCljc5+0dlM7rHaj1sdd3NDower0hFXyO7c99+lP+IuDQe8L8vJBcU1br+nL9E
zctPpiTLF/8xJVH/hXTLhGOrk3v6Y+CQ9i9eGCYTxkKhfOv+fG/xQLhV34qvP7/qe4vH/BcDDZzt
DP/f0Jb/CMrxl2MxlxcYX/iHb4pn/sfXSU8paWO/nk9ze19xCuyYArz7YH5SRy7f4YcFiO+K+n7h
5yJbkMXyE7x7VufSN8qRAeapGfGOyATyQVHTv+Aa/PV1fvxNWGc/XGcpm99dp5CUkiaurpx0iD1K
DWnyy68voP5YeP/1Cstb+e4KgQJNsWMiShFCdJz4ZNpfCyRNtnSyOxLhVNlt+seS8VF0blGwKtEr
wJAgOKvFFW6JYCihmxwM8gIsP4etedXFNwO+y5E5zK9/0gWa8MvP/MP6pUWQd4d6+Sy0FSgRpyrv
O+DvhSJOg09fAXV+NH01JUwy/KdlRN9Whb/t6L2twh9vukKvBQQD3TzYaT9+VDkmvraXzekEKyBi
lmbX6UWCsrt1J7zx9OjfKL1Qfvc1e4XeDddKirZ2ADDo9gvTt17ovmrZyT22Dnk/2G1Xb9LsQc20
PXRytLaETimfRiwpGy2xY4tmSUu2S7yqDfCL4B7VnvDDdqKqmTbhfEKLt8oQrhSV5HQG6XWjfc7U
sz/Ha7/DhYB5p7ltgqX7lTp1Ynh9zg+An4VYTtckAWuKSy/Rb0k8rzxDw9FUoc6jwuuU7sKUab+V
26l6aGivTJIGKiwn2FJcxfFlPGabnlyKTxkdiRJF16pAyCAWxhTNmh6lth4FwhNRZXmylYlVkaSP
rcR6nc01wy4fEQyEr18/ItqPW9zbcPT9i/+x5TpENi6QsZlP8kbb+rv5or3XNtauPjWOctFuK7de
WZ7tTmvN3dd7EP/e+CjtknW7kTcGu138Ldzu7x+Z3zyyS6fl3cslUmKysuWRLZJdgXlkQCPkVOtK
/s1ytDz6H5/M98vRhwUPrC3Fa8h1oC2kt+OXKnAjlO4MVv3fvAQL1eQvl3r/EnxoOeKxT2vNjtRT
CPnrnHDWGt2aRN0GZI4bnBhd/vqe/mwFRCeMwXRBlugfG2CZkY0ASzWVdjZt3vkZI9avL/CzBfD9
BT58dnK+kIYCVT01vdfpCYosmCO/7ZD+7FN791t8WGXt0TZmwLIqYWoYvUiFuUWJ+evf42db0vvf
48PyOLFX11gd1JPKuz2iHZaNazs+2uH47Y78X1dHf5vYuFzofRTkvy+89LX+9y3dEe/x8j+rvI3a
6ap7rafr1wZQ83dB4D/5w/96ffsut1P5+j///flLFuVo2to6emnZXr792Z/AzWXL+fvyaEcQ8M+/
5ntVpOj/MtCGUOIwKaYq4C7/MfjCc2vLNNAsWTMVuiB/akdMsD/IJDGW4udBeMIffa+KdJSU+E3/
7e1dcN/fP4Pzt9f/W7Dmz83aivHju0sTD0C4tvwMjC00quwPT6EWpqUS9GZ7zBIjXBdFGnljkQFH
ueLYvXCuom/UKxH2MgyspE+Gla60qkKmBAKMAe9MRMZXtZAKT2T56AD7SSbVa+w2o1F18CIIjEXu
B65EwZ+SRmihJD/uVY/o7CIn1c3oxBmMp13nnimXPX40XR8aFB1SFTefzRmGNLnMhN00sjuOdc/s
XenDehM3pX1JoHe4C8YawOMwiE8VQ2xAV4TXdAX50CIhtliphv6A63Faq1aUH8006a6Rnw3Pcq7r
5a6Pw+C5F/W4Ths5u8CMWazoSvnHWNLFmviccIslgNOQNWjTlWKq2Ge7YrgkgnE4KnHferVffi0G
q1nMlmr92YrwIqWtIMY29HWiZ/S4vVVJgnP5BPUXa07tTR+mA0gbGoQknWxSSWjX1izj7tOI8007
mSmEpZBSqbetRH6SPB1rkqXWCS1R/DNKie6yIVLJQWf0zG1iH/NlVG8K2DnPtkP1SZvL+RzOxF06
idqpzwkyg0NXNcFuYkj4oCElBPmr0lwtIXHMROqdui554SPNd5VtKDdKE8mpG1PyXiIcsB0dM/Vx
QmnpBZMeHfWoaTa2ndareLat41yBvsiqHHHKhDw11ILpRRhjekHESnPXZUUHSznOkWdH6qWmKens
GCECDyw7aAEZWF5BuJHWUaU3Zy3SSq/t5OKA8Kg/NE2y96dspkMkWetKn8avgyAb0iqzYD8y7+Bn
i02JOEtDpmXb0PksJoJ527YzMM1a+aYMOmUjyK5yRr0GSTCrtr9Pa8m4g9NzT3aXeqEytDnx4/tr
KaGvB9NVrAH0yadpDulyIWvcBVHerwoSoeDHlNN1WFsDUO4leDnqRnRNs09KQtME3tuC8n+9tG5e
iyMxJM3HLNz/f1fWJfH171fWdf3a5D9ZW5ev+mNtRUdncEDk0IVI/Ie1lbwEtHpQEFjg+BsL5fjP
Eyf/j6YcwQETirfD6J9rK7MQuCW6qYIygS/5T9ZW86+CcxsVEwNQYjQpUvS3CNx3pV7CimePrW8e
Edzug7bq88t2UCfDjbO+LAmQj7p5Yw1N42ZhFox3BSqVySvsvAzJ2gofR625ycJq8sImBzradhsc
Fx6tRpqvcq5ik0gNcEDxMwCoiL6lHq3AFxJ7TTi1YhstrWDpsRiy6zxL7oeuUJKr1izDmySJ0NKN
OBb9zk2JRwrkSDomfm4Bp+2rVZ1JweNUtuHZ98PIOIfpZJ71nAXOFYiyNcdgZy483c/k/NYwJSLv
CX8aVs2o+C1wwSaM7jrSzXq8/cN9otqhxpii2JJKGU9bVa4vh1jsh06/1gMxeb6Z38lzetuJSEOE
Vr6wTONsDDvMQGTL1G28QlDxHC655bUkjkan3hvjeNeBQ3I1nPFSL3lSRq5SsEQRiLJUPGuCJ9Dk
plgB3rqHfG/RCk+Aw+s3iTWc4rhEzy5FX+hN3GadeJVFHK2ajA9Ft9orU1u0UUQBbAe+v6MGZfI0
LStzMkRbeaYNXS3ThCy1bqtUUddFnuR4WKCDjbG6DVnW876vPYaaYM8A/uhZSCQAGEr8+wmhpHGV
rnCm7rVSvfKJaXVnLUSTJNRtkXDSUq1kYB0d1d2EssKROvmLXNie1TWZC/3SR47YbLLc/hyExYHS
49BoSO0jS8JdNds3pp9C4CImfvSlL7o9r1N53OEqPQa1QUCrX3tlPRvbLF8sPWxdbUHz2YgGlFxS
9jKENiK3KX/gkW7RRPcm2x95ijxeV+QMtE5rFcdWjyXwWP45tZkUBbj1g1C59kuJthwxZY481rob
633j8ryR3ls8dGCcoGS3+5Y72DbdmnNvtBl10j0MuSpWIIZ3WT+dxkq/V5r2aLfRbdyS4BzJzV0W
hNehCCOvlLuNEhgSOb+t5lAEXE+mfysP8tVcwdQaFOxXkzIEjh1Fk6fU/rnz5+2U+myio/RSV1Lo
yaJMNpPOxHpW7NQdOixogd5gU5OBcYtp3heleYqXeqGw4MGVXa65WQ9qGdnpBaLAL6QD7VEmYiNu
oktkZpyPZfNAno6ykW12ngm/h8IL4AE4/lzL5cA2157sWjz0Uii7vOq9E08ZJJ5O+4oEcXaSsrju
ZvR3nYnPgY6AaY6zI3IQpm3Sf1KHOd9KgqfTDxCtNmn0mk7qTOKY+aAP+o3KmGbXFyCo0lrd4bLR
PHiwF2FP48PA+O/KmRDroYpPUWDgqU6us7Q/EqctMdcyYafECVpI+6wGebU2UizBQzkwfKvHyaly
43ZQ8ALKtfzVV8WTrKUvsqbvqkEjPC1oCWmU1FfRSHegrG0EwdldhjJmpdoEOU2tQmRw9lhM4qBL
xQS8GR8ASU6mGI0rLbZKk+IcmNcUVs+QomFz6LhwFzRJp1eXhjS2qzkhsrKfn2tNfawsW9vaMlrL
0jbPc9fnntWGRGbUBqGHmCAccqNeoBs0hHO3N2Hegi0s5XQ7yQWMSDOJWWu1p9IQNwDZyV4i1H4N
dZVTOJRVLy7LHNiFfOzxHK8YXL3282R7uU5cX6z2Xu8X5jZJcthqkgDa11W4OWRiMAcxvDA9zFyl
wYIt+4N+jEY9Qu9QjUx11dDT1Op6yEmFmyyyW5S5XyURclINzF0bQCCL9BgMWRyWQPeG3ZT5T1k+
4iICar7CbxU4o8bTWtbxi2HmRFv68bzSc38dCG3aGnld7YpSrBOCXrzQNNK1ZdEPYz2cN3lcPdXg
5HKId8HgbwpyEKnBIwO0CIXd1HBAZ0pqr0cpx8kCm+eK3OBybVaISQPtAocn6TRZbG2aihyRATW6
65PzvA+77ksCamUdAn7cq4SeuwCBsQ6OQb4Nc5jo85Bxb4ZJWuvk8DgSiYlOAO6burbfaWhYHPoK
WEf0/hCk9t6354MUzRm1L6GRfkJ2TOZ7QWhCczONC5jBDPE6Um8IVTyXXXibq8xWAcila3AukdOF
Uu3GWvtiVPhvM5LYNqPFjH5SMMiiJBodJQ3PbUTV68+ylxRRvynL+YAF7AJIjYeN5dxj2lxpcSUv
Gl4IjGZ9RIf9YhFUlDY+pkbTJvvTkHQIPzpEEGtaYWNksgZh0JHl4Q63++cikc5pHd0kEGlcmTJ2
FdeK4dSifE1x2ASZTHmpCfxhkeBbRmruDan8WEbw/PsuOvp2R4iOIvfeUNW+W/jJIbfwm8VjHNxV
YQpYxn801BYBNK+umWZf66x91DUJyVN7LN8Gvm32wunDXik201dUcXcgx5AzRIxzVUm6muVS9iDW
XSqYZAHRJIe0phIR7Km61LOAKcrraDVbs/MvLOrvjRxNe4xRtlclkhPr+X021ccxV4kmmrIMAo4A
51zvq0Y56JDqpdL6Oozwog16i3klbf0mfkXfsObw1G4as1w1JX86FNKdHMsXc3DIYgIgO5NMmWRh
rj+HDYtvj386rs1dFyFT1FsrcBuj3s/NQBxmwu3JiD+NydMdZ57nCDTfWlXFqwZNwkHpcRPFAX+Z
BbxHKB7VyxEUo79LWla0oXJ7ogLbRSNJdVQ6jtYa+1kHx9xhPTAqWq32cK9ofPNyLPBcx4eEKOCN
lrUvgvSpwPQxVZHvIpsZGTf5naKx4dl5sNFDBVuzpR0Znn+qB+jyZQOIQCqrcxnZFwTWIRQxqutO
wi1mxjqUWZFtumIk7FONV4YykCgBSpuIlyxYRz6vTj6jYdBqcl77il/N4iwSUnc6VhrhadaW6qHe
mVq4H6b4a6jo0ToYrNOkxJti3jQ2WChrU0+5p4wXlpTchmmPqkUIzqSWvoF3DwrKpJDR5mfNGtbG
EDzTLb/gDIvDy5dDblb1GVoRbFJ1iHU24r4+8PrcBhNQI0Ix7xQ0eKT3OFZDQxW5fLpVi3TXt4nn
W1p5lRt1BjMoJz9+FdFJl+7Dvig40GOgrvfIGoaMMOGht/o1UHJpupq4O7msR5In/h9757EcN5Z2
21f5XwAV8GZ4M4F0TEMjiqImCFIiYQ68P3j6u0CVqiiV+UODO7gRNanuajZdMnHOZ/ZeO2RBHs3O
mPiuJw7liNRiQs26IshzO3uA/BtaR8Vhbl0IZdwkZumbuej9cCg/ha42B4U7ID2TkRZgk7k3muJu
pDndsLB+rdPmwUwYWuQUXkqYdBvP8vaxYz6hYr2eEg9/mYMrMU66fE3d1a6FMHGnjyQEKKTNcp1A
ChUqF1vLlcbfb/nbUZv3HgZBLz7WDSiPjJyPqXPOQ5ewQ3GOC2lgVbTpk+ZJv/XMozZLqpuyeuZu
kVgzs7UoXGCsiXmgE36Zw6HYzincdknegDn01+SgEZkY48SjlSDcIh4Z7BZfmzHfGQRnrC1cg5sa
f4ZZZ7e6GALA4cPaystxx7l79NDhOhLaJVa6dtcPPNGpzjeEurUWZtauWg1lSguCdq7SbYUaFl2R
+CzqZG3GF1FBALDkapyMPXYNmEXucMZ4UpP73F1yK/1ayYatsEbwm0zOZaSeLcAf2ALOpn6xyT9W
5tpvGiU6DGr5IMZo38XJY+d095VXooTAuOI228l27hB+rKl7z7LWPycV8YetwsmYR3tYoPM+7bPP
/ID38ZKX6lALBnFX4bHPlc9mXg4P+TxEbELSqykWZMwNaYmnfYZ9KAnesrVP1aAizRA3mJSeROWC
sUK6mEvvMbPKY2LED/kYJ/9vZqX/Hzb0NNn/3NBvs5ei+OusdOGRfu/nde03NmnYwd8CTX8wCeg6
bCNyU/HgWZiNFs3h937eI9YByf4fwfXvZqUeckSdcFT+gYjil2elfKV3ew5WSQQN4bRbZqWMZJcv
98PqppCto0+96130nPwPju25gr+xmIINpYj1wIrzNvxMVFhzA78DK1e+uIlnbMV26h2bwiPaJxfP
gvRmSbEw6F20kaZZcj0YGUa3xpj3xWTUQT94N7SprxkG5jUmXq5Dfas4OuqxhF6l3qpRtXUL7pdK
2SlJ9mw1yPKdtDxG6Xgj9EXi1zU+/d6OcKadSru7MppxnXilQsiw3CK7POtUQIkOF2SMrQyZstxJ
DRBHoWjPaa6tJhBw+8Z1PlWms5+b8Qvn4QlLd2YFIb/bowe1rwPuvIJky7je9QWR8liAOslpWNaX
mcRpVE/FWh+0Xd2VmBNoS8cO6LQwlAYPvFMQ3OLy28JI8dtyfmBicHJnbUE5tzq7SbMJdEYCsalv
U6OPNo0AL45HjBylUXtyBfIqQLs+CHbqyLJ/zKfwM7gTqv7yMklwP0oeWpu8hRxVqMV+hKZBY8hU
VUNA5qvjwuTN3XJbLeAQet98bXseCjF5k1ti3xLKuMJ4+1Xmg7tS0ctxz4Qk1iO6Yrz5xI4cAJ+m
vXa6ctCGfg8245hir6JsoDAbiHNjytKPxxJoEZATuvPJ7o6zyF5ypRg/8fe86qzPc26fTAbGhMuB
TE0PYPXuRlaW6wa2QOujs6rjo6IXPddYIiIg61lWxkTAdcKrz1NkOfusdU1O/CHeJq6L6g7fpXfS
8SkfcEkMW2iH5Z7XpVIDUwWOCMnJuwsJgcUiJrWJXPmSccBgSXNbNZaZ+Rj9oi1+MgyJDiEkR4ed
5YNb2i7Abhzv/803abBRwP3rcXh6ArL/1+Nw+aQ/jkNyoU1nOXOYVzKp5EPfV0eESbztbBgvehrd
PR/6fhwupDf00iQ6oMRz1CXI+ft4k2gc8h3QbBucstiYfwkChxT85+OQRRT+DhOtMT8FX/DH45Ck
Sos+iLRHI48/1gaYx0xK5mCLcECbwUvW9laj+LekghbZ+wgxO1qpPVj23LM/pC6J92W3z5Ey1IPL
8t9xmGkFycKmyRZKTamrN5EC+7Qbk4gmPEuVZz0rc2pdKu34ygkHBNJWodKPZU66aztmeDnYihu1
QDpc9vbdKCDRuYyVPIvSfyoMv4pnpKVT+UFK5SOsxnujtPqVqs9kXTbj3lbkJU7cg0ZcAnOKLw3T
TmuJj4pS9bZK9WvPVT7qQ1sQR4uHJOzEaagQPfdh8SobNjBkuGwgPUa+3uRGYOnTpWu0J5KjJnKA
DDRrZfy1HvPZ79SQZmFyg0jt6HNK6KhkljqsQxRT7sepVNYxQVla71wMuExIAa/mfvGiEu455DFb
E324aobqIVa9R8V0qLwzEJGYszsLJHvCtqNJ5/uuGTdDr1VnjWSzvCpfkQP6Q5Pcen21RFiTmBbl
ey2XH0XbXynl8Ko2Fsw8RTrIhA0wl8kwrBRFdBiXxa5uFfIGYntN7av7IdcHLX/sXnRZyfUsa7Ee
OmByMTjcbrkhypTJdK5KJXCFmMnNrTSQdM6XWGIeNTS5JZEIbOykwYjQ9+jHdn3fXMIMq65Bw8l6
r6krRLUYrLcdiipQFVm+x7u5blvr1E2ChNpS19dxMWxMaEeCaSseZoaT/eSnxfQU2Ygs+JprVNNM
l5Y8iHiwUeIrTyqBd9BGGCRqWHG11nuRQrgnsBND4KqMKBFB2cdsNIg0KJq7GILnGQN9eaXhBI9w
96Q+BpddPJBC1NqZGWSD47t5rm0LhT4i4/1/7hN36yjmHn/rR9WydmqvfxyHTltHcav6XatrZ4bA
6bEqSiYj7N2C2ALJHQ7MV4uJlpq0jyXOXFPP1WToNyRwOLtEDFsPcq0co0MugLtMtf5EzrPlQwhN
LrjCGB+zu5Ruvuk7/G2aTLK1NRbPhBVu9CH5VCKcTzwyB6KYv2eaSVx+Jt00Cp53Nd7vC+f3xqG/
U1IgHIIJj1vEcxcW9Xu1S2VMXPuk0V2y/F6YXxF/j/n+l78FjijbMEme1pil/FSVSfKx2jSxwfq0
z724ltWHwvsmIvpvB6dR4v5zyX6VFFH7N3cUn/T9jsK8u1xRIEWBgHIP8aE/7igVygUCA+4wRJeL
yPD7FWX/ZmJndbEH2sSQvjcQGYu6AXmDo1PmLyrSX1I3OFyDPxbs8FD5eoDNSUnlSvxJa6WFRocD
wbHO8awYzT2LKNBF5Gfmmg+bE1SFS6GZnFpXGCDk7InCesxuVAIMuUOznOnc1CXrzlFDGm/XbuGW
ls3sS2cwLObTmA0DvLqH0cgY8YAZmcVNyaoNmuWtrcWfp1HH5m8YZ2kXtW8u+zl8+OxK6vi5dKjh
9GWLBxiL9EFVWU8s+MgIEutcF9IfWf7FWviJhTzrQKjcTDqztzWhILd3nS+7w8Fq2BwQfuxM9rrs
ZVecTEXaRLal8HuTcAPQaSQ1GntRWAzVs04+cjQQttjZeYijt9i0E9E3ZU7UYqrskoT1ztQUz6rR
pIgSQMwxl7pPIuWLfqoKEjtN4U+sYsndmUkwycIPWu3e5KUaeHLYpvON1tn349A+2C6RyMykvW/i
uf8eRI0y7Z8fxH1evTTJU/Y3zyKf98ezSIzYYr3wfm+R3z2Lmo0Am8eJzhVKzIL//eNhJJaMh4Qg
YY9PRKHNM/S9XtR/wxjI9hovL931L67DWa//9DQi4jctHZgxWSSLco+f7/1d4HCXF5NSy9NksKLF
OQ0v7lQ5eOJe1XkuLAKWQLRzDxqs0+ZdaQtBdGhI4mZg26a4DXWGXG4RjrtGGxy5Mmz9C4CSdl16
4RMGvDsRivyaOzwGiW/rG5IjuaVNtT2Vtv0aVy45OzkYSK1okw27C1haLdHtHUHCpINr1nFm0LRX
iqwj5Islj1xPNivvlNDdc4VInQwZ78jiUVx5Npoy8DFyg+VvUTtThmSY29Z46VilsvY/m4M8CCs5
umUXXuVJJjZC8RiJMR1wMTXbGenrltxMnsNqqCN8pybZiXjUN7YwOTikI+K1MpVHAgQvlT0VBzJc
P2h2rBJxxICTQWq1jjypnJvU/jIWxPvUpaNtoda8zmn6mWlpm0Pt1/L9GAI3qwh6vWdJELLVi08R
LLN9H6cvXTTrj4RdsUBlpb8Z7Kz2nTaDQEOhCi3MK7yrQQm1wB5V5WBWk3q0kqLbJvjsoP2isGkc
58YlRP4OS9F+jOUHpYKAXpqFuVXd8sax2fbgDYROxiFNKBXZbbNgcG2qIxW5FMpRi/t85cgmth6H
KmJTrRriqgul1m2jXJF0oXOD2PkS87cbdMQLJ6khFFopEVmxNTgvdfTWrqdAAHM9VM/wYhVrX3VS
/6DofZbs9UHMh2YovEsySNIjytllogzt3QgvHsNlhrvCex00Txx19uwwBuY7c2i0yX97aP87vZbW
8J9PrytSXf/m5OJz/ji5sHqAssA5hkvjL1UEFmAIkRR2S2or1d33MoJagYqS+FDgkYut5N3JZVJG
oP9RnaX0fKswfkEk6Sxlwp9S6gUPQnYSsHUeS2AjNNU/HVxaFdF2zd2ZRM8Whn+CuNmN9cx3atPb
OoP71IbRuKkrCxslPEBTOeSt27M4dpYsz+Qt1jN+i/hk0lPlGODSUQ2qtxjQymya8bogHLQyRPKB
jZDu0Z7MZIe2c8ujFZMnmlnoMQuwepUaIr2MyIqCi1csak3dnONN9yY8q4Eu9HszVHIKE61zsvYx
j+2UBc2UzTrLJaO326Td6MWUaIc8JyDkLgJ5osCRDFOi3DB/En4RMRd02GJNQ2f7xI+kW0UQYz7W
obYdBC3KSPQshAO7+Qi8ttd2wpP2HBhtLyNf6t48BVnPeouzPVSYWpmVwja+mu1TLwFC+BXG/7vE
tpsloaVi3cVgdatVsejuhJE1XgByM7tM5L7q29rh32VEesQ8mh7U5DoSabOa4tLZI70x1OC/R/Rt
GrXE7PzzI3pXgjb8G7Xd8lnfH1Km86QHUOdDugNlucB4/ij1oXQvODvHtJeCe/nQ94fUBe1NQbJM
q76pnP8sL9zfmE45hJgaJgIGHP6/orYDxPfzU7rwRmgqgILTbpDc9eNTarp52pi9Li9k7TTXDgKb
24Sl5KcyM/WDXJDK3CjOxsWvcxolwb/oZgl5XCDMzoJjjlXAzPgNEyRVZRg4SgchJaljOGLqOcti
7zQYWngEO854H1nfahi40jDhd26gltW0U1zvMOkzLvMu7nYaj/OXJFSLLUlioa/KmWlx1U6f8ziO
DkTdo+9BTOrrBZST1nVJM2vkR0+v13FmPMkwdw495dkGddZ4VYBtDngUCVbpgNxPmXoRRg9+OhHQ
vGwgoGjhWPyRe1J6C9mKdgHKlQvvqkIPZeLLyv16nqNXtqSP8YLHYqW4TuBlEYnikdkJQktH2Lbu
TEe/jrTokwpnK+mNBrlxcWMtCK5E7ZRtt2C55ghAFwxsJyDZ5wqddrtPOhOMVxybW5EVZjAskC9b
Y3CeWBHgLxIFkDoPN3ODILkiE2bVK9YMI8EKUuGWSOy8c2pgtRgkr46yAMZAnBl+vkDH2lZ3aboA
kdUQyXo9/VxXIMryrCvYhNtpoEXkXkb13KFL4Q+mjFqDOkOooBK0HccxTqWGYFJr2OYd8Zly7qun
oYzS09SZL4ooVb9W2bHnYIp9Sqm1SKM7AAE3uRMZKzFNW33IPurp2HlHE2HaqtGzy1Br16XuflSj
1gG1BgZUUbeTjhzKqVmRVHwf20ZGmA1mdGJYVa2RwKPU014sa1FD2+PdEEOda6lO1kJlu5Dn6sWJ
vF2Rl1sazGM6gTMa1W2s9XowZxGTs9CGlZpuUIBe8jnp2PLkG88kVANv+cmSlU8KxL1rWJk/T+aV
HZIePfcoifQGcZVWg0Fzv0AKoEqU97VHoTyFsPDKilKxK3SZn2th0Vzqht1/wQMAv9dgI7yB3sfG
eIGLg3sQR+0NOd4v9PFq4ZBDO5qO0cIm/+8w/nYYU8X8y2H8VHRP/7Nu+vmvVZPJZ74/kF2oZXhq
vd/paO8OZI5WwCl/JsF8P5AdXLr2G9AHOzUHOnrq7/2ezfpVhU/mcCqbLEx/yXCLhejnA/ltV8oO
gL6PvelbP/hO/uyFChgQDrYL5Ua50aSNW1zPgAlPxUPSGC462AaRrs74PBMOVb7V7WtLex1KFQkF
5clhzBjO5jwlTMv7XVRGWE/gDhsN6p6y6NNNH2VB6qTPY8jaSyPjBNwkiBIwawVvVcuFISK967jO
760GIiaSRbkEjh6lkPdR1KHNSh7C1PiQYxK6kCKlANbGVdEnThSoUCoOeRY/hEAjA+F5N67APDD1
+gtJ1v0m0pXxQ1F7O9t2rtIKirM6kabWTre1Nl6mssr2mVKfB6KWI7PeWmoLaMKajrmzzJIBizWy
PLUWouCoM4D/evE6jNovMtHIrIqigXxdCREuCbdRUt+RYbKJJ9NakT8FiL9J9kPmfNaWbQChvuch
qlH4zNE+nJB79lO+i0uQVZPoYz9rBPCY+TZEj7GzFI2Xpk+GqyxhE5Jb0dmrkgMxzLWfZqDTOuVr
mmbeKqlrZ4WydzvOYwK+nB2rMhDlq6EcxD1tbPrMvTaiAtAj42z2L/TBnXGbVs5t2X7V3fKVtWHA
TGriSy0CGq19insILW3IZtZ0OsK4DH1lVKm2dPKMzwYcpZmZrG3Z7tzSu8VSW17XuXaqp3QK1Fqr
goTTyQfHq29nXf9gzkhaxIAyWrHumU95h3pId8LpEt+uw7PaYpB2Q7EJk+yqLTuQeKXfZWTOjMWm
nMhoQyb14JmtuS0m3VuHLSZlLyOMM3FOspaf9DLfmAX5opQL+9wYbqFXEaE5jy985wmvTvYyIJK8
FIDkV7Umr9PJNVbwwk5er4THwWiekSADxG00fZ9Ehf05VnInqJ3eswJZkPGlzhtLIL9rEGCdIcc5
hyoq2xvS0uh1HaKHPF4gWlrLdr+6lTseBhKJANRvGuqNDoqLtIzRN8Lm0YPhghcL2B0Dz6DGi1T1
YteMEvmMxUvsRgQk5PF8b1QlzbcuR6I+0FXW9lWnyZcFJO5rwrrNIG9f2ahT53w4LwMXDdtOAAWf
iLM2/prOlbfvSufrtEhSDXcmEgRDFlaE9qYjGZwH8RQy2PGdZqwOpdMwqHSAzwkziMqZnO7I7Vca
RB1WMQOqtjGSMArD16xCS95IQnfzTr3QVZRrbGFsmGa8ZZRIwazaNXTs2VcQJiG8O4yp3voI/h5T
JKdctV13jMnfPhn4wV9UNRQfSpTeu2xwpbLIPsdy9d/t9G1xzUH+z7fT8Um8/PVe0vicP+6lZW/N
7WEStvD7BvqPe4m9tceahp7AUBnavWsUoICyWSO41OGD6tu+4Pu9BDsUxyOtt6MxxV/MPL/QzRvL
DfdjO7/sI9gMAJbAtU+0z4+NAhM4+sa6sC5iyEAPR3kd3k2TKOodJYzYjqZJ6pcDvKomvjtKsmxv
NvgALCrWnQiJss+lTn7uqDLPSzPyGKeeqClzoRAbqEzdhUs8LoRiQSaksjCLnYVeTNG+sfOIsRlu
Cm92X6x0IJeaJZ4fvuGPbZ68ArQ7jOeN8sZ6X6jvHfh3fYADny1E+HZhw4+oOjNg8TN55qMecd9A
kVcXnnyrw/gpQMx3s3b22Gji8CE0wr3Mtbvn4r/DJEI+V/tJWVj1RQgyGHh9s1DsCWX4lHURQND4
Ltet+yiBd88YN8ZECQNfA4aPjnlvuFWQquEjYvSnhRGBIBGqo1hI+th+4NObzspYKPtNgyDUAbxf
LwR+0eiIdbJzjQATxWt0qoH1N0D7AV2/drzQKNDL9VyOkILD6pAvpP+87HYW6H9aJ8SHMDi9uYgC
gYLTAbPhG448zAQHuE18I5ckgbhL9/2SLVAvKQOeZCWz5A5USwJBCqARC+ajYIaC0bBcW0YzbyKZ
QeSq4i/tkmQgl0yDgp20TchBtqQdkNF5Lpb8g3FJQkia5mMVxmZgNK/9kpVgC1ITGEEy1rVsn7Lq
VVmSFQA4Xuola2FeUhe4IT64Sw6DQiCDIJghg6RFxBChOEO5TjuyG6yoEKtpyXMgoO7gEvDgYM8k
qxT7PFHmjyYhEDilPk/qfFO7ygdGk49jhXi+ITYCWBxGlRGgJjizc+7InWjJmGjMJW2C2IlpyZ9Q
NIspZxVtUqIpZIzqGCvwxiG0QjL4gtzcoLfXE7t9HiD+HTHgMnXNFxlQB6Ao88dFHMTvj2tILoqh
0EpQDw3I4LjdXAf/UM5p4JNmiIKjDvlksbziM4qlVRJCCMKRvfEUNvpcj0SSsNKKd3JQLzMPw410
U2crFHe8qczWWrE2OxhGagDr5vqr+Zw5qZRLGtGMOZNaBgbvthXgDEOshCZRNRnJtM8Z+q4s4NcH
151mpnLWGCB27yB94wdSYeGOKOJdNbpgYiDYTtdORl+T9Ulhh7Av8tssPdc2jE9de8DHLO8aTRGP
hZYit64JEzWYB2thUwUu+UerxjYEuuJoNZgdSzMEJ3hxyWdwVZf3jU4QiVPAO9PGfjhjvgFGVnor
R5EngbpAeIW+6hnEr/qM7E89aZ+bXtlqSAGQZDT7wu4J7LTcg0Ivd9CizPXLpU5C9t181pk6rnDj
jQEZSMT0LUu7InbwBORNtVGqDDsZ5PcvtaZ/SvMcui4RLcHYjO62mEG6CZFZ2zIniLRVUpWJXl2i
JVn+vqGdr2YzvKq9mBppPCc8USQj94eUkUc88lurirXRIhQQ0tgmOUk2pYdWOJ0bPL2eu56QSnNm
9PyF0NOg499gY5SbvMhvYisx/SbFIISp6solk3A1Vuo2scQjUvJtr7R3s0BpkmUNQV0Q1ApNnNq+
QSHZk2OADWMbVtXO7tvXyAhj3+Ly8CuiHPn/wT89uVP+IW/T7OjFw3XBK8oKIvGCvKTQjoi8wYP9
wBp2M5rVVR+6L1OpayvERAeIxbh3tWkL2OfuvwrhW4Xwr8PE41PbvvzdxP/dMBHdANIxxAG6ofOo
veeBM2c0lv/5Oy7qz4k/eFFKisXyS3tqqW8jyO81gkd+uWPzFSkUUBfovxSpgTT45xrBgpthgnID
0g3KyfupRhh6bwnFtceLZA/vBPEQpuli/ZG438HsZnp41c0iMgKZDoP4qPUaGlYWFUm3r+ZEXU2D
PYtjK71xDlKmQnMgxqooicMo0Ol8mdg5sjKsiNIhDqfhiANhsJtsLfJePTXXujuCgdtm0yWOGfqh
nGfSK6pytGGIKstQvbYjfa7QyI50YzO8o2nl9NGkBbkeNXNgOhoS3sV4gZFeaNteFS7+jyEyrftM
U2J743DMsJjgwClss9tVyiB3kyH79HU03GkTpeAIgihK8y4AEKvuYkxdByV0s+cE9S/k7VFjrFbJ
IVAy4AvEMXE/x0yU1FxB/Ar/4Xmw6ELmOTe2HQKwmMOZMEBLxq/2qDDtKtxXKh2TfA6Y3k7Fx8AU
otkdACAxoxqv4ghfj7scqlGC6I+1LJzERkGe4DiCU7oTWGyZngHbUlTkGGx7ETqpO8ITqEMIw3vS
3IUzMJfRoWqU7NoEQ70it9HbulXxIpzZ2hqZEZHPMZhbGsQkUNslBDsiAd60+uxaqH27rj2cqdVA
dGtdj4GrlFRwrvESY0TYob/gbTFkTCno8ZnQRs5KtZVnpn/Rzp6zHiJU6W7jpnl1xjDESEGJ5OQU
fv4IzJ3fSXe2ZZm35CurzIKVOD3xM+c03nZ5ECMj2j7FiQbuEwDDKG88L7S2o1fmQdvHFjEjOWa1
xnRXYx/i8ZiJuc9d41NWCJ1jL41WTWOqUGhp1krQk6uuwgnTl0a6xTte30SyZgkbjd2Nk1CRzFKr
8SJJifq51LPNrHpT0A6A3vG2VMGkOWR85/St4VSInZZhFmFx9DvV6781qQZc5V8aq7L9n/9TRC/Z
S/s3/RWf+r2/0tiW0ljRhuhobX7AHhCzQFjCgn4HDA6N78+z0zB/czlUbddFukQRshARvp+dhPMt
0jz0h9jdXevX5n4/T/3A+0FcYAuD3o8zXF0+/m7qR1gB5UYBZajPg9lyVmG8NeuHdy/M9bfV63tV
of4TsnnpBZeBImuoJX+aIoiX5/13qRnpsBO10nNXpknml64KxczDhrAODV0EqdGi+KS2hRntFvj5
4nSdzeHVQPtxq1bxTYYuU7fi5DiqKr2TplhrjTi5VaYl6lqN4v2o5/t+iE/JQGRQrx3VebxppX6q
5/JqaowLO+CDmgq5yklmXqVq7W2c5XgBQyoJgPO+wtMdCV1gNp92IJqR0L8m7GeBErAWWIEr9Txq
YbmaHAUPLuQE+zAqc74Nx8nxO6XFYOIROTD1M7eGIO143ejmx9DwnK2TWcZnPQfcoMDI2iaqiO0g
7usqC0okuA8lkGTshxAGdpGHUXivGbi/qCzdM7M1SamD1xkzAjGmq86oDPfjrNe2n9V6tm2U2ba2
GqumuV5XDIqdmgFS3skQU7+lXNxaV058/cpvk3IllKm/KpVi61Jt+TbBUlwCLMYbxyWWKDPFoYft
4l7z/QimsN5CKvS3wIpIGreMh5YQC43RYR2RbOE1tnMYKA0f0TKZDwPJQIiaJWKMt1gMF6IPhFzd
GonL4Ea21+rYevdlydDNZsscAEowfb2a4nXWQ1AgB0HuB1JWz17fE2PIa37E99s+tTTak0TCKydX
X3l1slcA4gYoE9DmZcN4Ow/UvKrMAq/UvNtIEhJAIYv9UHowkioyTCdBrEapoQBIHtzcGo786Qam
jskcNGxSaMSp66dsSg723McBWT7ztusyZM4eKuI2HnSgynW7tY1hN5qF48eT3t5EFPncMPmJlLcT
RuRikzfJjVlahN/2qR/a2a4kn9uPDPW69ca7TnOG+2iY3NdSnZgNCN8eJ/u1THrfyqHphbX2QVUY
VdvdRtFLEXhKvhEuFftE59La1de27V6KpHmRqfyIBBAY9XDwpnzDAYJ0at6aE5m0hGMYHhtNS4fo
T3xEMzyrVk8Lr2yyUeP+wbHfyy9YVLi3voRqr/mjnRnc4hE/hDU8WnbynM22GditaA90bxFE9fmo
5yCgI/1kV70/9uKx4s/XdgY1vesE4WAzYnd3vTo/TmEbRDmpDrVar8imRPzeFuoeB1aKtplmwHGu
+R1vrR7R1JTMEb066npzUJNTbNoMn0P9psuI6h3r7irSJ97MgAmyeiI4M+RudHN55fEQqSVBEl7j
T9AT3Mo4mlP5QODjWljOXa9HNwQUHAFSrQfdO+b9cBN7TAr0KtBDrAfEboDCFtoqxcKw7huymqJG
PQtFfC6F9pm8qEPSEoSeuYe0127mkYwTjN9llp0sM13XWS2vZsehFqNIcMEY1MLZMSr2vYauNJ7A
ac/jwS1nua/nojgA4viaS+bLSlxkvowIw7QmQ2xrr9qGrabczlKpN/9+8v6Nik8jNlFndaQuYFb+
88eTN5Za3ko7w9VZCz0YMk8GziCFn4PIOHY542hngEpQxjlV0/yiVXV7U9dC/eDObrYqp+m2b9Kj
OoW+8JwHdeq2dWy/FqxcCZ5qmiBKIXMwXdmUM+/pLITmGVotIU8kZZs12DDH7XZYh5/BqfTrJG0/
6igLg0Hr0PCrAqJ8sR7rdTvtSaxhOhEWWy1ttro5QPUmbzR3vsosv+ud9NBjq5/b7FD3eJyq8ui2
urftSLz3W5ns9Cm21hDF2bpiOY3NdBtxL/mt2t6astfWBHgf1NjjuUYxcww7rWOMMt2nyWCS48r4
R5f6xUwgstc26dlTslhF5nPcpnsxWltrZE2RZPU+fAtIc8EX5G60QRIQWFF1zCIIBk5BpF02XmV9
vuNeI/OsgghSypZk6uYi0uwWKyUjCOK2fBvTASN9ir2muU4MyIU5qeXUf+m9KXEsR1Py5IEpSZYY
k4k3qMsATIh6ITigvsmBpWmPaS7JrbXxwZk7YmhPRlt+LT3nqNZ4riNP+Rpq9ryqSIWmEZ9wWuTA
2KvlLOuOiWN/0tVso6oSyAejE9KjNQJPpQjMOLoYs6X5uCQXQE/q7oBA9B9LwxivUB03p4xK9tv2
+B9Bm4uc9L1qixLBZu8IBAomCAvPn0oEhhLj1NCXnMM+8Y300Oj9tw3AP36HHxUnfEmS5TTmyOjW
FkH7m0HqXalj2IhWXVIQz5mdwv2/JH2yS6rbZkx5J5Apa9cbLw3+lwfwDSn75+/11+/6k4y2r0RX
mYainFRZ3KG3ZVjNf+FW/ER3J1cxEvJ151oPdmjshx5w1DBhR8yKcSFRJOW6aOZPpeIcUWwA8s3j
TeaN2rMbm46fq+m97eajHwl55WTmox2K6aBlyAF4NxVl0M9OEbiVgsGrGohXKKTc95NjPJcFXHoy
/IwgSZIvsDmJFlDt2OcEln7n2uqalvquN7OZQZ+4Z3Kl7/PIIMGq+8pQaMel9IGt5sZux3alW+nO
UGOFQTMVCtu6YotkQ13XED38ZrRooZLpVo8LVLDJgHI2slf4y69407/W7aiv2irZNybk/dH8MM3p
g6mKg9WVDEwXA2USGoDtOoI37J5Mvjm9YjLsFzLUfQNMNBeM4JRVHwYVv1qS5ic3nrZFMwZDOPMO
VgPRRTmIuwp3U+6uqjl1/SYLTxWbV+yYRAEuprNoukN7RwFXKR/6DiGIYXTqena6LalXiJD78smO
ahIz85saSSBcOiKiNBZ8ePHZ8u0chovkw2r3hYx3UwgKZmj6c2VzRwKv2tPXvSBMIuM4cVe1ZW6j
yjw64+/Y8398iy8iyndP0V/fbXQU7wvtkTjtQcfLe0qPxXV0Vjb1Vf2R8Is9kR9H9uvx+os+kiOl
nYrP47fwnn/85gxt/u6b45DAXKIj8Fx+uHcPGJpAl0BeUzlVvrUqjvq62hBWql0pD84GFvz9RVkf
H4YACuzwxD+yszyqq0OyCTFVrfL/5af5sbH59koYhBxYSOhpo6yfVKBSHf8ve+exHDl2rd1XufHP
oYA3gzuBScNMZtK7CYIsA+9x4J7+XyipWyx2dTEUd6qZItSsdMDBOXt/ey1q3Eoan2L5inltN5Ef
2/+Q7f1jRXn/GvTH3n/gpS1IPsV5zMP1W9SiD7n+/erxy89g0fMC064xlPXh1ywmc6EI3/Dwlq4a
RCStwZ7znyvUf4/vOr/43x/fIeWT2nFf27fX9vWvB/j1j/88wDtM76J0IPLocICSyRv/2SCV/0HG
WSbPY6g6sed3DVLjHwr7LQ7opvMHSfaPAzwzHCYHCpvwpU7S8j9LUn58bhrOmrXGUmipPNoIdP58
DWqxIjHJXuinuHhZutM0Pb/7Wn5xeCdJ9NNtveapATOS0tTYSsJFtD5c5SLs9D40JnESixGoqP1g
pZ/yML0x2v47YQn6BG3iF7rGY0Yq9yrPh7ZJA2FBOjFXeWAFvaS0kBh38l0q4g1Azq8SR3f27kcB
C8HrqOq7S5yfcaijJtSGvtHOUbEqCyf4RxFfIm7fpoD6Xc1L546ysZ8Y8Pw+GiQImGc2fRROlq/r
Sf6VYzEdTiBTgU4QkWpjJD2luYRUNNO/iJjTEuewyNPROa5q+wruiX22aksKcrt9clqqxMxwE8jQ
9ZGICGMPGj7AjdIyqzq3Jd6o5CVT1SPPctitxXwcI8iDeVnt0MQu0GWbu9DIt9qS8CSiB8aszIsk
jwB29el7kUnnfqKF1xXLshG67Ud1f2tBZ5fkeq/hIcpkaVfW4qKvZdqeYr6eMg4gC128aGmRWpHO
tKzXUKGn1jNFzS7PF1ny2uM6dDsLm5xh75jvOEsLfw6unLPUc5dFF3BsIL4aR71sUMGrw2WuLb7J
DqCt6aTPpIcq3XlIk6XfwTy4akMGcbsFsmUC6KphMm6W0gtd0u84FlPOXejmaYt+m2hl5cXdFAfC
TvZzTqbLSA0gc6m5lZu1r7MqoXS64Iix+C0o9Zb9sInptU8EFh19eNQrDbCbcTI787nrl3OW6Ddx
gYtAhIgP9eGS/tK+mke4wSkYIp7yhTOSFBmP1C5uTQVnTJ/mj5CJHpTQYiMlNlVrXtiLsZGm9oV6
OZX33tlKWvdc8eEJTk5baV6+ZjnyWiv22pCQWjYda04t9Pk4r5LM4R/lgEFOIESVZ71wF2zSJH2O
QsBWE7PrG0kILpvm+1ylO3uFXmr1i2jlZ0mSbztrpQyFqc8gvScb+duShddZQVSMSeojkfhsq0Cp
JFJs3cUEehvoaF6URCn1+OLNURCZSZS5A3uxDHplXXmRJCZhmpo0jWHepo7+JOqO44eKxC+v17sn
HW9lJT1IAg6V2rBDMhrKV3SSbyakoZ6YRX4YUKdRSNK6wMkZJ1eZOQzGzjxFvWoS1jIfSI1HvtOE
9lvr9CCrmK6o3KE22ZIX7cAZvZglJhk4NCWnqU0A9rLD8R2+ChcGZ+S1UpaRS6tiX49JoOVCwk6+
6GDf+xC1lr0mngshH2oT7HQ8q8xitYe+R4Wu192+FBOBNY08hqI23Q6SbBpEiTjSZwHXlNUcDekB
hNPiBMtEP5D9aR1U5Jiooif52crlnGyi1F0vA584DOsvxjI/tKH2amXNjvXtMoX05TmKJPlzLh3D
TJXJGimGm5nG5PX0F2/BC9CYVoByPoqsvBkHOCyqanIyZN+m5h7cNKIMiqDDWx6sxmJBBBilWON1
KcCd1GtHtZovcGfuctAwhAK8eumPwBC2sRFfyrn8mLWDp4lVHhHmRNmyFz0NDbdLem+0Q/Og9Byk
Qz2x3upRUr1laVZKKhCCu0wpoAMkGlqpisMjIREvtpcsILjQXi52dtLUmumO7lppTJDWXeeiYCvd
ZTR8lry9qoQiiDSz3efzcG9K9R3jdR7DXCL3u5ay10zL3WHNERejbFboqlZCaiKxSWeMbRYtoAB7
YUsPjvFcMfoBBjKzhh1E7mFb6sW8Zeknf9nwCqrI78pCS4BWy86FmNv0Ik+jU8nZjPChZu9FRrVU
r6w7MgBsu/WUxFqhQsOd9TAkZdfcmeF8ZyNRX71fkDJF1W0MESmuNU6bHrg0wzVQtqigVl7OH7rt
YIinNsntzWTPCZTCZIx5KpHt14eSn3isN5pdtP5cVM/Y6vflmGwmaw5EV53l2brImvlejtNgANtC
xjq+F7l6Z4vGofg4DftKSlu/CvMZwmg6urUsPzO7Cblz0psnYQKxrStQAFnMhW4lAi5EqD2pk9Pf
hqoxbWwhOQQ85M90iL/YItomcD8Kyeu4xzoP+n4LqhYFw5tRWp56YrfGxEbfHK/HtvukkLTOf388
WPA69DFgMVPF/8smoLcWYOJxeSqof3Wmes+qdAU94YXlsnXH2eEHmPPdMNWQFLJdp8bwTBlpUMsD
K9URWwgF8uw6DsWNyXCCFgtPOCQhovAb5A8qEtwC+kLFW/5MhvrLd85QmaXAPKEb/WETbRSiSnon
K08jxf1ovpNTToPVJ96SHx3mn475WF51dJSmzTcE8urD79CJrIa2TnqkBhVBdUHfa7R5XTlseG4M
AyMG0vBE2qO6LilYzo68H+2RLP9cs1BpzHOmxSaWFnFNSsu5LXkqiQpIGy577hJqAQbD4K5RRaeE
tNMUGnznKveNWYDvmNe4sKHkrxn4VCWPku0yNi41RdoMMDg4AGtfpFbdrPNmzD40TMczpudVjbZN
UUC6PIrY2sQmdUr1G4mw18la5+Upr09WfjkT23Uta5Z2sjKml3JcEzuZMMVGCiWx2EktX0mih1Ao
xV0zGjw/lOhoFLXB0ETd70yFk3jFI44JG2Q1VhbUsnqmNEfpd0Eyo2j5MZRfBepd2Eisi8+2xHSs
NSq7OdWfc62Ng7IuKWPRTddo2y86W4+J28y3IoH+RSp2bU89rFCmC7w8r1mixl8QUm6JoBa+lceY
a/HkaF2zoc7muEKdbgrTzGkzKC71selAAO0Ta4zyy+thjetzOVB4pbX2830ZalJFWdxgCFFRXzWn
K/ylHvKTyfCNy3r6EnVMzxDR9RQT4mySQ1vW8ku+FWgiMYVkNeoue+LL46JeGpX9pOllvOkKo9kI
2iZ7LCGCPjuDzCAY14EmvdipPNR9mMp4SVuJ/QgLkVxUpZcYzW1UJBga4q7iaSA6+sor+w94cLF8
aSvzFc2q4Q1KZXltod6b6szemelAouK+WXVIdwyJJthoPqW2yYCy+tW0EKzUI8sAMTmznO5CJz1a
pPKaSruFScsVAhJ4Vm+NYbjM0vgW4cBNYTlbc+6fYMvoLvtGOcA4wV6wGWiP0zy31wSCRluDqUme
HKb0KnFNeLWjPSua9KTEA9LhftGC2JIxVkqTK01VoOjtVpbTvQNjU6UhwNPI1zOKN7Y9HiygNqNC
cFPJqfHn/Z3G5KZjTzTM51dtJHaloVOzzMCYeZ+0IzBmnKt4OlqluRmRscdWknpJCV3HSa6zWsr2
s70EVTcHZh76Rb2OcJkR5xJuxkFyrulYfCdCHRIHlz2dmQe8BpnHYLqvArVVFPNodvQANaBL9mpH
16PFG9cdKtH/o6QAC1dGOoK9G0koW9FZAg3fqJl0KHiKE43b2UrO3HW3IV1ROnsdBrbCUzMPxw0G
3qBsixo2WpP6OXOiCD4OC85ry0lqd1RwXnYyi+4C9ChVbNcY7SuAm7uopMsyNsfSNtj19rl0zusR
Xk1uXejReAB4gyUaAgbh9kTxRjndxfV4KXWcEnKymloRVEhmvXC8Mo3AopU32qdi2pgEHfVdaA2P
tSzRs5EvTYOOwRTqR1ouFIHCMDwIdbC8jjkReHjU/sdh8Wv2Dbtq7jsfFecO4o9EMJW5BABS1PRa
5ZNH21+qVqzc7+7UH0aqd1UrNXbm1KkzcTJ57g/dJRxnb2K4IRzPWXupcGL5/YF6LWR/fFK8f70P
x2k1jktOF6wMVfVNsb4O0w3EwTJ6GvXd719ozQj85ZWIHjCuiVsB7Mv6ZHz3ycauH5pUHqbToszE
ZpKpW5G7d0YXVfu4wuSVTcOhrsk/VYwXXdprrtdMYQ4uKWmikX/Xoy/1XZfta1hcNh1p8SAl1bmS
rduc7RunHq/v1BX6OfkldMSiT17KFLkxmpqbSIAxNeK43xaGOBhwo9hYBLMiI6EhW1P2mvWIbPC2
XnKfSsqF0Pp9oqmHhTawUTvnMYsOLY9tS8oOmVpyM0nUL0kt1spjUbdBkof7saZ9l0+2C0TrdZFn
w8vH6LmZnPZRjcg7qtjeP/lWf663UFdcde7vvtQ1ivbuS2W0ggZsaE8ne3qJl7fZvvj9r/bZv//h
wSFLOXtkCvqnxL6tU8dttPvfv8Bf9kM/fwDzw/WHjiuTMzWaT4Z6lQBH5GuS49n7/Yus38LHi3zt
sphsSRUDbNDP39JkdSPYeD6Fo3pq/6UfC/Yk98lkffJrqD9f42txyiC6AgBz7etY7Ex/fqE5TRhK
WWr1xDbmCw81/y7fhL4UDG7iPbql+7g3veH4dpN48cMUvObB/MYd3e0+89mqa53t4yd+d1v/eKPv
rgsH2ghqHpaRfjP4hFKC6VZsCdJunABwY7tRtnzPG8Vj2NeNA8evh0A/lV9+/7Ubv3oX76/OD120
POxymwm9+fQ07dWAfurGubLcc4cW2d8+Gt7R9Iutc4o3045u1O4OXPt22rHuucuWxHPnUzrzHV86
il257c4xfWxssQ+MLp9kDxDp3tlXB4gu98Xm9vdvfWXC/uULfP/WP+ygJbVLcnrpXJdu5dab7lu9
qe8UH2KIH/rE+QPiFRfV9urLMRB7qOeTl17AKrlITwTUvTAgpvM19B5+/67+2r77cLd8aCMkSTW0
lsm7ivdwHrxlR+TnriSH4FXA911mwTxygVv71OzUFwppwe9f/9c367/vow+rDUuNNKMvmk7yUgXW
OB4WKcN2IP9rOupvezfrqvLx6n1/v35YdezE1oZhyecTe2p3GL/I024032aNtiBC6Hrz+0/165/6
z0/18TAp4TLRjCYVp5hk6Bze1NH1/+0FPpz5tMnOTROi9CkzDmpKHdCx/N+/wic/jLXeiO9ud6mo
7dJiLvVU1aeuyDa1+rQI+5Otwmff04fFrVPyLh1QiMON5Vcho+9Mqfd/+xwfLjBRLZ0ou2I+jcNE
Cxyv3OQtxdXvX+STq8v6sCqZYSTNFOd4GgA+0x0GFPP+rGnCs5h3TEeVedh/Ybv/9oL+5e9jgMgi
xa0xxPbhJYFfaGGd9OKkI1vAxKbFFPm2v/9Yv/x53r3Gh5uGmaNOamJ9OhmpTv3+uig+qSp89gIf
lsQlKyYtrZrhJLNoU4yGt/LJFfbj+fi7G//DdRwnNH3CnOuYs4HbeNHFsMsuOSJ4F2jhguiMEfCT
xuyHgb4/dlB/3v3m+qnf3ToK9T+lV2OeUU8UhktWVQBXLln7V+W47Af3amEWhUe3EeBnce1ryb3p
g/WpfvXcXGkXnNpjNw3m3t2VXrz97O398kH+fin8eOUk7SgrITedcl4f5JLbbXN9Xyqem211/7F0
L2R3PnyX3zictffzAUTpJ6uXui5Pv/tRPvzug9SZcePM7CX8wQdguLiq6TqH3L9xTuZR2wr/Wd2E
bknFdtNuYYt70icr9Gdvwfrw3CMoKulQjvqTdKhcvDaLm35lmMi3DuLbtKuD4mhtmU38Hj1r3rTN
zpGffvv93fXj4PWbb8H6cJ1k0G51TGq4FDfTBsabm6y7un3m3Q37ab8HHuAuJ+QEj4TP/GJTb60r
3BK+CIgDu/HLZ9kKbd0Y/+X9/Pt2/5gosCX8QRyVxakJ9K25NXN/2iyb5ZgcFPcLo/ybzLP39Y6i
3nHyrPsAIQk/Ub/NNreJv24S/rU5+G/rXmEl/fvW/eXr12+/6tmvf/VTz16FZKGotK8ZIP6pZw/Y
kNg9YWuMmSb/179hG0CJHGwBpMT+BUb6o2dv/gNmLeQy/oA+OI39/2SoWf9xyPr3tcSxxcYvS52Y
tjqJAnt9E+/XQOq6c6f2SnQOnYIkOkKevoPDl+PoQfT9CBfGrWEH+QsWH2vV+ZRFROpOUINVvumr
8Gd0DEJNIzhFKz9MMBXdxUkvS7yvdOGl6zVq5farQsgu8gd5lQqFieMEelJ/UUQNosNmeRFozZXh
2cRIpGAmMlZFURLFL6aT+xK53wdSePKuJHgZFWPoWaEx+LztiiIkoZREYvJFUZ9xyJV+s6qRULQw
KkP1ewNx6fswdt9goSElWZVKdpVCXMSyVGXxNcopzuvjg7SaFZxVyFQZhLEzHE3GKmsSSFFwhsWw
lqzqzcboRD/xBPEHK9PIRxQt2qeuVq4kPFBpHl1WeKHSVRCVtgZ6gkS9MtL0Si41eBYJrPNxFUvl
rPtbU6f1OXTjFwxHdMkUkdC0sZmeiQFp53J6NwzzFbhWyl0yaMlOy63jWDi3HW4raNHXXTm2mzTH
Fyfhv4rxYMX9dIAILnsWh15Xx5UVKVTUo4pmIA3Vyq2EgfEm6TCXx/Jyj1wR1wCdxkDQwmeiGR0X
MLt042TTVya7aB8OsYJ9R2bMdRV5aaMtBTVuL7PB8aXbNVOWYXg9rwKwuOmdzRwRhHPywlnLhqZX
rsqwypS2FQ4xKbHInzYvM0y3bRdp6yBbTK48slDY4CDDGdBAoWOgzMRP1sNlCiwLZRmR1i+9E/MM
XtkROG+LIF8VZxOus9yCvR619SVIKow4EUI0LJA0yFGkydAoklDpg2HVp6lqc0NmO/YtpuL9dJWs
2QLEr7yK11pa8R6UiC/0zTW37gTV+VXUlq7KNrHK25IUjRve7UurAFhlT+a3th6qoHWUUzn2UMd7
LmXi2JMfDQlasYiREkUyb0usccOqj0uIP8PrsvJd302510XjrbTq5kIC29YqoBsLaMGM/jMOverp
Gjx1UMAm7IG5vkM88eyk6htBZbjgyO3UqbuUCkpnkWQ3ro4Bb4mbt9nRZ3582sF+2TnmNSPwvX6h
LJQryNYahM2ndgZ9PuIBjB+niHteBaNFU1Owl7Cmzaz12pU1Fs9jWXMGtxPKMl0vSArODxNReULN
zNjSi8VqjByK+vCM2KjC8iDG7ZjDNU4qxrxbKAZKHJmHtmFurLFj2jpGebdU4bk166OYQH+Iqvye
9M2tqsX7UrUPUNGulz49LEu8Vcm8xxJd6pSx/GpmHk3PBc2GVr+RK3PwFf7dTTMpB1ujykuOe19Z
kcrJmzfuRLtu1A/M9n034bZ1GVv7CqFnFRbzRSXNr+qaz2wUiFvN1I9uMg/mBWmTjT1FE2LT1Or7
xzJqhmozxbW+eMjhqluNbsUDKfSRoQKVwIQpd0O70xLbeImyyrjouzqPrvIoj+x930j6SwjYKrxM
DcgQhZP1vnDCR4WhgsCYVC6NEAJRyPWy0yuqk2PKmWrkuguMmrz+mt4QuiD/wvwiEz672FzWQj7z
yCgNcBVW4bW9LOepFD2HpGXxoFFc5VTr7gU8X3j9CctTlquBiNLvUWtdtybcB2k0NnPSATeZsxzD
pnXDeAajAMNDY2B94i7e2iFwRoeeWiMvV46eHERGLbOu5VdlDUBVJQ5UKNXKqORe34fdrsmlhGst
PM+ZrHpzn6EHi1IcsdGoZPtyNX91WvlqVUMcaCo8fWoYxyRL31R0YVU6vU3ow8pmrt0FoVioYxZj
lIZOAbIxeTqWAzuqbGfDEiiXLUHprTTY52j1lA0Iy0zEZUvRk4UHCWShNFPIWrrKajnLV9+ZVYy3
xYIBLV5daO1qRStXPxp+ycJN1QR0JXjLGYmaNsiKV4wEvVQEa0lqMDjbWsewbq6q1cHWrDY2JA53
TayedNIbvhFhJ2xbZAwo3DKzuqqK5iQh0/Iq2XxM7eFLulrfxik/jKsHjjj1IayXR6OhSowobl6N
cSrquHp1yIm03iQ0Y+vOxpSJZQ4VXeSZEtAdARykRG7t0Rpyy5kiNVMllpPhH0BZZw5OuxlXi51m
94d09dpBwTD5D6dNi/JO73HfiSQGqIAOzzEt1mfwG9lAREBKblEFvTaCTAYDnRkimgGvXqbxU8sY
dlqBcs/CvVco0bfUcXYGWo5K4v8NsfT1A74urH2FGv/zPPvf/aTGGe7v95NEQf/nouLr/pXhZf3T
PzaVPyzVFBRM8G26Yq0jCn8GQaFtUuUmHkoQQzc/GF6YwkeCJSsM4vw0BW9B1icr/eMfW4MD/8me
kgLGT+eTdU9JoxlyviHr0HqIlv68p4TpVkyTPrfnWRpMpXZVoaCmLUs73ZsiLs+Jbl4msRWfaMNt
Q+YGr5s5c9wlkm+0UL/JWvGtkmkMT1O8J7JwiC1lQ8vnSNjRk4blIi+h5ZSKv6gWI1X69DYzckVV
h966KE6qbm/CyDp2sbSpZumaMP29NZePxoTLM2y+sSFGv2SzxS33GX37WJIirNHa3rDjhxa+laTL
1yyQJ4FaD6zJabKGnq3hdDTtZWu0NB6T6N4gXyjxiYK8Hd+cpL8MHagVrfaCwXA79P1FGZqbXoOC
rTenMI5PTjVB79EReNQnUJSEswjxT+oj7bJdrEDdmWcXpOQ5VVJS1krA3IPfdIsfy8Mz8qmrOBaX
0Th7A3Ph+ggqIzdPLSNkEKi71lGDIh0FYmBxsTj2K4PbbmLqjwga91Ln+IzU38TRspXSlFYxs+11
Cylg7qCkJ+d19iCzIHal5r3RFbtl7m4Ku38r1ekk2eUpDpvjYBY7A6IH5JadIDlgRfWKBD0BQoAI
6jCOp99YMdtMW6p3vUUxRc9H+tgWDK2Z6H+YvWqVfuPUyIsTgns5ehoh9cdIJY8QDfuWcafOkm5S
h/krOXwgxHUPSQfGLzsQjM8BAyW0DkK58ayiuUzsfJVNNtN1zgbUrxLz1WId3NbNxIy+Ibxoqh9J
CMcuau43NLxMO7VtJDfBP9EKYWe36S51yhgoGaNOZ31ZECykullq26Etgc4oaCOHqdtjH5a3VcOM
r2TXN1nV1xc4KQevazJ06qCELydjwfCLMhNGALOtiDzhj2lLeqMq6pZkX+cafbRLS6VbnQ02cFgF
o43KUxv+EjGB2mqC3pZTT1i0XjE2Gn5nzreJPjc++14yeJqZbRbR115FANYdo+7eBnkPXU0Qgcyx
u9jM1S4gGAyeJI608svDL4y3MniqnxfV2Ohtdmq6bPQz0g16Hn5LFv3SBm0ijfzdZSvIWPLfijX/
SZzWjIKkqK7h2D2MgmxNPXQ97B6TGf8YlUNa629QEEtXbsuZ3XIj/E53TpAA4OZP6VdimBN8G6zG
wxA3fqba36LaeSln9d4wzG+8f+aHK7nz5pmhTa1mOxYXjMUAwCLtnIUUVDA21nnr8yAE6lZcMFv0
oE/zd2HJQGXsC9x3ZOYkEXBGfEgWNcBT25zmcGw2jBPGrDiSeVnl4S3AILJWTtYF6g9Zm052elTK
JzZcfMsNutkKiqw8ja3P1HC5SbNpH0r5NuWg6jnL8LysOPucYChugTeUPW8ThHe3nZB/L5YJOncw
+Mt8FxF1Ie6qbuwaNlSjqduwUp/6BrwFy5TXdAYkPwIvwkye5kjjH5d0ML8Eg0zw1I7o3yTR+oz/
MvEXwpUtw0fE8YM3Ox3/AENMOjInTZDD1PsWu1Jb38WjVvhyOs/BZPK7T2H4xByS4NkcWlxf2gbh
LvpNZ+QWTbKZPhG3JTgf0BQa/nBZnbZDGHHSIcOVZAnlw6LZJ8li8t6Gi9ruzlPBPp4RKo7uGox+
+RT3w0Mpyxf9yFQlfh5wjxIMM8FOLYvl2zHqD0YZ3ykzuwx8IX4JoNC1dZzg5iQdcZ8r7Euye8Bh
hpsUOLxzq87FbRxn5aYduyj2pCrU3aEhNSOlQ7zX4T/FoHDdUiZoKS/sgOaSQUQ6BWzPhXrB9v66
Ljp4TMqUX9MkS/7Zl/jvXmQd0Pj9XsRlhLv/Bd17/ct3WxEw94bG1IfD7uInurcCb4K5EtDaK7PH
oWz6R33L/AfFLZQeRJKpcbHf+JMpgXDEIa1qsZgAalCol/0nzL4fDZ2fylsExlbOP1Mx2o8K3M9b
kU7MhjFktnSyjAKUQ7UfALy4ZW7im1MQV2RwzyQqAF4aF9cyaCEPSj8RJWgI49xXfp72SCzZ7dew
9z02ZCCnxxkZRmOPCOi7t7GYHjjGvNRyczkLbc+iYB/rIm8D0pLcihqPsXZbKEXqR31+M/2IMDXa
F1NJQLyRjl4zlw7aNJfMteEywcJss/V9Wj3D6ViD1ANbB5QHmz2EcCFZS1A4zZMumH0HU87hCHNx
GtW13yAzLpsMTCZ643H1HOuhxulLcJT+IUE2Vh/yMhrk2sJJf6nzAV1y+kOdDNxm9ShXXV/dCaI6
NdNyik6CEs5PVY3Oplag7g/djFNexibX0JAdGOrgCJFeiZQWiAP+uqjs3BNy+rW3rG+hrAOq4Hzs
av0pH+7VjkhcOKPcGB0qXXjgbq2JAQ6lUF/SvCPg7bRqANCCR2s1wKDuuotGLt8aNSbvXOYxKT0O
QMB6zEJXr5ssIrYYW4jBZk6KjChkFk/Dbspkf5L1p1KvHmALVed6maoj/ujZkywnKC3nrEVkrvPq
1CndtoBSnTvWxWSET5Yjs1nNtHlfUQIDOSvvcbJDFeNzQybDtRKaFfbofNE83s+jHfXJxbAif+sV
/muvGOCQNfkc2vJdbuccm2qQtRy5DnqR9Jnbj02CLk9S84C8mmkGymhfLup8LXcgdWWT+BwjC3bQ
1vJtNMzXIeIbVnrt3EQOEyQqFj3z2kitfbiOww4o5GQ4qkMf3fV2cZ4clJ2TumpUecYzBd6NtRun
BmaHIn1kfuLOqjiOjvZDIS1oTNpuN4nojkTrsR2TW0YIn5Je2SmTjUg5j2vPbHgwLKT8p4HCgaxw
UCemfjTJSx74yVn2RfotZVs2tLw3aY6MQNNG5jtVzHKLxeCR8YLNMAhX02Iv8sslCm8Ijtb7mQ3R
UZMY2hHjWyl1QdHdtYLondM411Gc+nXHSbdGvmIqlIzTEeZvukW6s0vmlJyjpl1CRHgpBAljyTI3
OFugRza1D6owWctuPIHn8dUJlSqQGUtezOWE/fscyza7wvFQdRLk2YlSofHG6LtJzjO9XaL4PCr6
Y9Myz2MoD3kjK4GszpsGyADIe+kUys42LUrkfL29zku/DSG1SG1Eix3NoBGH/JDn/GeKcxh70btj
W+wh1h2HvjzwXy7BNGnahVUZvYulN1c3SkL5jNHKsriJZTAZxLWj5zRRg9JI6SAZ8vdF6nZZMjxD
7diMzhDMNm9Bs196u7wsBPZW4om+pgiKMVQxo/pptohHqgVbqlFn0FYVN7bSUDKYGPFtW+0pEe1+
BHKTS0MI51K/1tJoj2XhWi3Z8czLcGkMEIEno9yGZWvvYUjA8LIwxGaPqZodI7m7t8padrH23vTx
yk3JL+OyOcC8eswK/RYomeXCvfqiF9xqcgsJRz1PeSH20ayIdWJnl6ucCBz1hovkohJkrOO2P3ch
UVoL5KcQw1OhNtQz9XwzdPJVBckAFeABaA3Al1HawyXYya3OcavZF8u4G9mDOWDTmHHY9vly3Q9Y
J9djgqa1h6nmkrWBexddfk9B9SUbk7PeGPueSehORwBQmXtFix+GLrk17O6OGGMOODncDEa8R9Ly
ljEQpxRAShYYrqHaHvGlXZTLWtlSxsu4yg7AGl6mXLt1csbsKCVjFW5kLzXlrT4km7KuzwjUD4ll
f//xSP7v3mRNP/393mR14NZV98ouBP5nP++//u//A8mLO3f9uz92JqACNRksMJh7VIM/KiF/FklQ
DBLX+6cedy13/Lkxsf6B809RyMrrjLKuSKs/dyYWEEENyRDYKJ3dDp2y/2RnsiK13jVxfzTeUOpq
dAY10Fvqj2HXd+GDlAk11VrU+FzIsDMvYwwQL5Mix/beaMsyukLfYVwsojFfzFgfmemWeLi74ySN
z+1idQ9OrFe3jpMYC8FnMSK3L63+sdMEw1UEzK3AjFNwpYn0MKkceqaI2kOuqpmnTuaVbZdbRpjO
YjDvonx+Jbn4qsbsvOEjmJ3Nms21q+ZFgqCVQ72SmcE0hOS52wvgBKjKOubaonbovEieX7OG83Az
tgDwmRbgrkBKMUNtwTBib/JyIB5fWqS8BTHxqG2JdYW7ujBv9IEofmIqfqYBVwmJB9ste44B723Z
3Naa+hLbKbuSEBdtWbIiwi5ctnbiFF41MHhGiO8mNa3jYHdPKtGnzCzzY9FWBxGzDWpC7B96Z0Et
byNAs2NtMwGX3QxNfd/oS32ptZDEl5KCcbvyftuCesior4jYHBpvr8GDmsooP4Jpx79YP2km57FO
kcm1y+23pWtnii9THtid2JGP2spOsVOo9NeWlVJMdzxdJyzONnhDGRWMbsp3gAtp9KLBNnZJyf/S
h0mQnq8eyjj7Skn32tZjnxPkFyWL78yq55zcp/oxNMI9KNvrpF717wYzOeCkGQdFoxZRnsNRy6Cq
ad7pLdI0yjlfzao8LJCy6tkmISjbVM9Ly3LpWKU4AqYDJQivl0dYwlW5zRMGGFRdLF6vsPw25UNq
doBhTObSqPoHDM/cUkKhMDZiGeYZutEbaziJtaFIbsrugQbv+8wsHiBaTX6bCeYeIcwaWnwqF+oJ
jSTTG53FfTunbyGbiZ0Zc4Y1dHljtfYjdcknK4w8FeFxXhDAYg/IkXK4kWZ704TLOc8S+krqxgn/
P3vntR23sXbbJ4IHcrhtdA7sZg43GBRFIedCfPozi/rtLXHrt47PufWNw7ApsLvRqKpvrTXXhZu1
vDL77ph56WWe7JfYRsMqSFmvmzFGCENq2anVdBA2t51mJcdSL5ek7fjFFfdRcVBzhUUxgZaMga80
8Tod0iurys+G1xxMz770LXqakJzl0DHXilG/0MC+jCz9PhcZm88S1n5vn6d4MEBgUn3sQS3qa2SK
oL0DSPzFVsZTY3fvepDftcLZ0bdxTPpU26mRQ4Nm5rVkGPgcACB+zZgynfU5dBbumMGlLewzL95m
pxg91Q1gcE3Nz3qgXSB1rCle+aIogU/HgbpwIvC1uZFfRFe6yAPRwclF8RjZ0BmYhLKVUIvsoGRd
RWCdDHDA2YXRWf4KTjJdiSm71trgKVPKyYeqCh4Uco/nzsesEKdOI73amc+Dnb8KQ9vPFhcd9Ouk
isl3eLuoYrmmD8E0zK1RUVEYB9mpA3azKEy3WE9psTT1VIKBwHxbEYlvYRxirSmu2Z4H7X7sNcmk
KnqClmS/Pa8GEpa4j11OK0RY5mTeawBN6zpT8ey3/PZhUdL/NZr6ZZzMPSgK7Srii+XzmVvnwsEU
ZPWUq6H3jY9zXYQ3jaZlh8RMLDYEXbUaMiXbamCUFxVsOmMRUrzGhMIW0VYoBuBRoDDE1ypVWytJ
kH73tv27TOs4k/5mmX4vvpZv8a/6weQP/rlO6zqESY2AGuAKvuo/TRBMgBfgKD1s9aoJZPKvhdpU
/1BZ7S3PA3sLueLHOhr3D5ZvQ1UdOJb/SMmw7E9+UQsiJYIJDhkkFfzXn0lNDmB7FzKuctYUTraC
p6Zqzu/BwFAxtTJ70RnqGpjcupnCPNuocdXceE2uXOtOrxgMQ8vCuQlR2V1A9JOx7FqteURUd6Y3
S+G5aUewEnQdhnZSS642TSybsB34J9MzN+goNNYxsNvQJjyu+krx1g1w7qJK1bewhtdd66RcS8nw
ZkwrFr3keouS/9dwanNBsrl5qT7435IEPke9tR8KZ58kjbEY4PhaEfJyC0C807sv+ajzjZBscQrP
oebKMnOw45Pkj+eOteIB0V+5kk2eN0m48iSvvJmA5TOPMxCbwRCVbrgwJi9duSzUC10yz2e4brog
oZu0Bc/LSZAZc2Gka9pjbBInb3GRx3UYMQX1rukeK2BcaKdJZevi8mgcMAm1MaN+lwONKTKxcCWf
3ZGkdkFV6b74oLdLjjsyv7pqP+DuDRsGHqgQ3/sKUCMfi8KOH1iyxbQzEVAeRGzua8mMT/tyvJ55
bG8KUiLXY6+eSVxHW0/S5gMeNByn5zleswTQeuAbRUZ3g0TUNxJWz2QXbj1al7vE2QHNPokYtTAL
qYJbUqvVpk+SSl1xYxe7oumpEWvhzAe24p5ic2jHBaVsp9Tmh4uTVnfBtdZFz1lkWYuosF/DhjDp
0KLiU2b5nGoiXAWi+sY2I/eFEh6pXMmpapvOGa4QP5rybxFDbahW4gyGZfJzUDK+2bg0vRUkytDi
dk1fO3vdqjS/T6bbKJGGzjzfmBF/8RpsCaOFd9ycBrokiY4P/AJC7xjIN/2gm6feqpT9ZDi0CwBA
vlhWi9zfYKdA4xgtw9fhezApy8SRCme8UdxoZyjA9rqprfpgmzzElRIMSzPoC7h83caIspesh1uq
jhpcj7HdDyNzqKwPtbVlBu4VvRlrJfe+6kp7tJP8uuy6+0AxTm3l6N1CV6qriaTGTpelkBTFbBWL
GHIurIx0dRCsXPddKOMhzuDXmc5xiqjDc5JoU4/EJrE88JrP7lSQEoZZ0ysHS4uPeYRgHndWcCpc
PDC5XdFZFIW30TSGFMllO2ba27TmQ3Ij9gJDDMMtAc6BkeY17Aa+gXZ8pqSmh+7PYqyIPvfplyVf
m+08Ya3cpnnNG8jLwB2B2n+znZhHS75mV7+u0tpX+7aEYKneVC3QlCrhDGoePCr8Bk2AaRNgzPAU
3Lt0+bFpu7d71eUm9UobC59n7wN3/lbV2g1q3c7p3KWR5ytbjIavRuOB9KyPovoa2cYGEWvVhmG1
SCz30oKYcEv9q5fyHc4z4114042pjKR06opSo3mtpKZf8RnD36OqAmghoEG/nzmSYyF4m6fpbpD3
o5YmOxAOl7kcz7mLj4PxQjCWWycvfR6kbCws/OnFeDXVk6+DpCyCbqkwcqJqfcNmcUuLpJ9XydZu
x7ViQaCgVPjNdsmLoywqtEekEbCUqjwzhEBLU8sNHm7AeV140QVlBn24HekRykvliH9uPWXxa93p
i4k4Qc1XBKq8T3RzaXqqH4jsvcneS1AAI5zbxFW3k2ov4qF4snBQtbOxZH69KkRDUFA/26Z72wp7
zbEF88d4Y47eXZbMwHcyygzKQd3kJiCZwOMODOheIhvsevm3CWwWT7g1BkO/jdyl7VKzgQS2M6jV
Aj3zpGqCLZZ7a9vVkxu1N3L01+Vfi6l6r1UVKO0Ia8KI1zQ3r9tgWqahuYrUyQ+N6JpQ+qnsjRs2
m980RSz0Rl2oiL9QIbaK12/dVlmrUXabWOVRWNo9Rxviq2hKtlVJEsChVbs1X8Wr1nPXmtHujWDi
gvUKKAzp04K+pRoADgfYt6Ern/ijcFRS3TcxOSEoi7rnRIM/FcNrW7R+4SoH6qB3s+JAFGYQ1Tcp
MAEWiagKah8XZYoA5mx00T8CBHkRVMBMlcP8yQGmThVLKZot4d+dOuYczSwPBGf/NDTqY9kkN6ji
GIRGdpsd7523wgK9dYTF3elswN9dU2t7qNCRe6W7zWJn647BGR12BxFk3wcakxrQKUUXr/NsutAW
jdcGfMbgXieNdzS08bnCST01sPF0z70PGvu6bdpz0Vo3FJqozHfb286yln2Fw61BFCus7JhZ4T6D
p7cYsH428kE1l09TKg56Y22qCniCGDifk2kY5HCCOWBV3DfVtNf08qDoZnRWAjX4QjlAdtsCS/dn
XewbPJTzMPg9hT+KknzFSHefiByTDuzPheeIZxOysC6VWKrt0lj7aucKZJv6KW2iHaLLmectUHoJ
9xnagzXHfC8zJ/VnVXuOrLZae0Z6lzciwwGXblJDu1CmmXCaregGHow1fO5tkNr+oCv5Kobf1DMx
dMIh9LVJX6YZqNGouOAH3CTBuB+L6WulgFFuk1fRWLhlMe1xGsI+2TurrgtXTaQUPq5FHEadn2cs
EqNXbHvF/QqQYt3G6ibsnXWsjquirHj+tBjIwnFej3lxmATpW2HdYctlrUEDL1rOZ3HqK9Gg7Avd
5F5nvgm1pdHKXaaI08yIpG2qt86VVNiWgrZsPCFH0ymmsvz9sKVltMj+pvgRKf4p3vOxQ0RZwuVi
SNDgZy++GJqmwc+jnNUcj2i6KNMbBa/V31+Efe4PsyL3fy4CXUU1oGYZ+ieTNvZm1cZhrpxHeEj4
LLvnsaTOZJnTcfD3V/rVhlcmZf+8kvxNfphKlUE5aXPAlXT3KjI5LjkoTzOCyEPSvcSl/V1c/b8N
R31/YXybmKlyGMRa/PPlaPvr3CArw0uvvIjuUIdvRfb2z18Ru2U2y1zGwJX08yUCABGqN1XRpTdJ
eG065PIswiMXbuKZc5+4+vvL/eJ+MKFsMCTkltDpHfv5ctJqrE+qiC9xAQTUQLKjfDv9zWv6FMeS
b9tPF/kUSGkDRTCg5iIJ0zTRHBMvWv7/vQz5Mn+4D3oxMwJh+HrBWm0D/U3LO+oXf3ORnyPTH7f1
Ty/j00dTpVNa9XkbX0bFWABN9uILPec84J4thnvtWe/a31zxV58OFn80aSw/lv2ZY5nGLoWdiRZf
nPqa6l6frk0n+PbP3zroPjad1twH2mfQdWAZiu32TXIBqrLKbfqcSn/I7v/+Ir966wx0dabHmoH0
/unzKYfIceJ4TPh8ngv7GHFSxC6x8ILbpDuYeK6H4Prvryjvqf8o6d8/rB+v+OnDQu5CCtImogwj
oNn2kTK+3zwMPkUAcQsycHdMdC4G4jbf108Pn7Y0KYIZtfySHJud2LF4nuANrazr6Mbyi1W8/n28
7Fc3xI+v6tMlCanko6j65NLb8IOZPeq4cfRy+//y3jHoV1k5Lfsz/8KeKUcXQJIvQe35Oq51V/zm
vZPv/udPh4gRd5sHF8L5fGNXrR4T5EGMdzj6Tq7ObvMlNrE+JclvXsuv3rEfr/TpAceJuGwYaSYX
zXqP3GsruK3n3zzefn0Jytg1jz4S6pl+fvjEWtq75hyml6I4W1jJxljH0WX/Zqn71VeIm+2vq3z6
6IHfRWIKuUqcvmUKnHRlhaZopZ2fiouSbjLrN5/Rf70sOqHwwpjYb6lNwRnz88vSvcCpcqfMLqLf
1M3LYK/q+eYf3mifLsGY7cfHdtGHvKFRnV2GucAHEi6nxPrN2/Zfz4GPS8hYmsqGhznbz5dIxjFX
Mk5alzZ7U+YdIsFvLvBftzIXQH3DCWgxeAOb/PMFeHSC3CqIfrPPyzuyZckupumj8N4/3qt/p7Iy
Qvt3U9nm7f3rL6RTfuqvkSzTVYvpqvWfGvC/pFPtDwzUtgmpyOGp9cNI1qBeiJ2w43oe9D+PL+9/
tFNCi6ZqOMidBhqKtIL9A+2UpCO3wH+edh/aqWOzY8SPxZ7R/LzpNhSdWUidpmdNxQ2590RcqX7c
56ZCEAkrM8suap6Pk6m+1px02VHKAyN7S1gXp8emkGk1OYIS7gNTnWpRxf2dZpjNQR1Bhj4FMsBi
C8o1Jzaufv6RbpFUQ1rNtpVugegnA1Om03lUsp79iv4acCP7tHodKnIzhT2CmidJM5KoqWS0pnPH
B1KGX+3KuamMkj/AmKttOFrrvnPLrdl614KkTl9igcqTnBmSjPFUg0jvA5I9imkgzqkThSKjdnZJ
/wx5AoZeBoJCGQ0aG3fb25i18nTYBrb+bMoY0VBO3aqX0aKS7P6KzUSyrYyceprGcRGhApJCdfTU
pbVYFlaVbsIU7WOWKogh9ZDuQxoZpEoC45gjcP0hnuhSRxmlohJFKgZ0qbK0Um+hHDe8caQGY0s1
ppS6TCsVmlhqNaGGajMh39RSx4mkolNIbceuYds3Uu+JPqSfXqpAOnJQIHUhfKwEdCLkOLxfDEw/
BKREakmBVJXcqpG8Tm9qQ36Hoo73pqPY2g7Hr5Ku9SFd9JOTal+02jCXHeAmp06SU9R3MH1dsqfS
3kVV5wL62Vq18muTysrBH6eSDtsmfSfo+ohv+liqJCBzZ9hkBJx8x7JOjaeccHJxI+Xx0qpw9kXF
vtKbZ11Jj8mAD7zW8zsjjIaViNw3kxyRHjpXRT4S2YqEkxILnXD6GEZvUL9qRcl80iwVT3U6rNIq
Ic5j9gFT7WjX5ZL0GzB1GG3dXeVz+DaPPHYDFfJL5TEhLaW+aeFmZ9xrvTF5bqS4mvoUCLZLIxpX
nSaWjrTUj2KEUI3DPO4Bwk4EJxaUCF8Je8iXrmqREQPQR/YnJOPH/5lI3ZRRi8MByk9VGQy2PNLl
s9lvpigGSzCqWCsHvOgNgcqpoqZHVcXBjsfeZwqrA8fC2qfi8bOl2S/A9Tc4OO09aQQMitah4ptt
q7QJogB5hGyd9zwIv2KDy3y+Xb6Q5sJEugyl3XDqGYZLA2InrYilNCUysPAwXTPml4bFQm0Evcj4
y7AYMhAm3pc4ZbovpLPx3/Xju4mGLd3frB80t7Cf+y/nDT/05/LxUdIJop1lwiIJZPGfflg+QLfC
QNXN78LdfxQ9jWZPB7C9RTeQNAD/tXp81HdiMKb6G1VJV+Eh/IPVw5R7oJ8WD/j4rmN7moYBmbI7
1r0f90h1WZuCQGp0qTsm39v6owrTcs4aHYvc7uFHT2b6vTSzq6gyJMQt2zQnmjaaNdkmTdwOkKC9
b1jpt/RKGsErHU0JoLqhyJQDamUb7DXEFW0VzoSLLmZaxDmathlVva+B/WRPO1tzBky49QLZ7Fg4
IJv7ySZgy1PNY6BPp70D6qKJ62jrkD0lhJBYysIY6T7b1mHjJX4hbe92PWTNOSQey6jBmAZnFbpE
ZDEY4mqcRae8WzG2uH9v/Y9bX56b/vdb//b1DWmGO/9Xnvgft08asjUxOuk+I2ensn354f6HLS6/
Av9TV//X/W8gWxs2CEPd4G+6Jevl/2Q+uH+oFNhiTGD452GY/0cltcjqn78BjgPzgd+OIzc2t887
bCPpixZ9ZsCW6Uo2aAyQugc4XVECnzujWLN2tgaKntk/D0l+qCgG31Aj4UD/jmM/mKhnCwpXQ9q2
V4pkdeYTYFJbjZWDKuZXK9BnoLbifbDrFr0N8bEii0N6xT5ROYVk3Bv1uhr7+srW6CsnwyNYJwdc
2mRg3X0u9L3ZaN/ScXoYSP84ZkoxOgkdTd96MVlyL+HrFMvIUJJhCMfpBAJFNXGjyeiyScYoccz7
wVZe0l55H2QISbIr/HGYSCaX+VcaHFDwVeVKqH1HmpwY05AOxaL3YI3JiBPDIw0+OMG/Xgaguql8
iGQiimSUXUIqdj7CUjI2FVJCHZ7CeIdOeINB+2QQr5oxtU7FhfDjsGQfAW7cXs+UBuRkkgOyWVFh
3fUyrKUm36bQrCj00q9d5HSYBBAv+7C9LxWBaiVDX10WZWAssnFRe0a9bMiG5aEApS7jYq0MjhlZ
1KxUGSabSwLruQyYtUHirRRht0uT9Fkawb7PFYg9nZJIRLO+HPWMAvfJxGQUQ9OwSmTVRoba6NDt
/dTVqv2sNDcltIKFKUNwnUzDqVq8bAxSOSBlrW0XeFP6UISKE570ds4fk9ailjJDNOTt62d/NOyB
5HM8YGl2v7UelUQRPmzRpL6R4446iUC03kuDRvE1z0pHAdqceVtwkLDXW1s7Oyq84JZIuh/qU7Gu
zKE85bMe37sY2Rt8EVvg5y9pPOa+RUPZeTATnXqCjlr6yb3zimFn5CgxdDhuMqo4thiD7pUu0PDw
DQYI2LnY9APb1tzEIuy0enFuC4KX7DEANfenMZpIRFDp4VemU/pJnY2XYirbldsN1R0BrS8t88aD
k+q9T9D0vdIiNByTcvnY00hPloFYqDzuc8UCLOuJbttQdrnVGzu7re06Qx53irtUx8VdaXFEmrW6
K12xFMKGftrNyKyxRcEzZ5EuUBJp9SyxeEznAeuArxh0luQporYVY2sXtuYS8KcRVEzq6xhUfh0N
D+T6KowL6oTzD0ZFaHrTQh9NZaco3vCSJgN5mLkOlrEris1YlelbaljtNutAd0P2p004Grf9LMgl
CAKsy2auAuRDqt0HQwuONIu4J7efrlpOi6A/FAAUZcw3M+/BJanuuBQUYpwUd8bWoqXYEYHDr/5d
j75vxXh0/+/r0an8pbeKn/lrJ+b8gVzEg578E8NHibr8cyVik2aTr1KRCm1blUGrv0zQrERUPLE+
wCYiLS6RdX+uRATFqRhywcsT9eLH/pkJ2mMn+PNezMVobePTMh3AA3i1f96LtTPjxM7qKP4wiKHU
jA4qlHQ3qs2lMob9jOc+AMy8UHQ7ypauCJwSc1AOJ6OLkw8zhJqd3C5Wc6TvkGuEgKUnxUTa7jjK
rQip6liK5sHi6TkITAKPQwc1ZTmroQk0KHUUr9q1LDbVwuste7zuEgeSRKSU4dqxGsXvxuJRV7E8
4EHbCmljbltWhbpX+wWUEzorQqVdBx2FQoV+agqbLl2yXsGk3hQT5zBNIyBTBhVcnvxQ1MFRG8YH
SJq4XB0svFWVb7pqh+0VJTzkFBPbSeynjgB0MzqcXlxUzy4gr9OP8yPc8ovGigUSx1goXQv5fERr
ZZIObz1396xjX3V5xIu7/kngyIGonx3yWLXwQ0yXtiym9WD39DR2PFADYpa+4czjMhUo3+pUzKvJ
QsB1VX2l0vizTAjuAyzqvyrmeAD0AUgCb5WfB9rXkSeF31l0Cqj1FrA76S8tOyauXvlx0zx0Fstt
Ug9H+gg6MnWc22aA7ETr17XTwYxLAz9XoE0FTVDtmPuHi9EsrxK9vKEt3WdSeqBnxo9Gxhw9hlyN
jDTFMV/MqcKfDVhdGLjVsnSZRYRg+ircm0FOcMoFfBHMhDDEmODjLtO1OzkgjwxxIvWkrdNMlohS
qquF4WOHqRxlywO2MdEQQvjmwvaajhMPQHot9n3XJ4BQmseQsqfFDMJzmrRbEY4re2Tuk4zaNi2S
m7Doj7FlLFPaNha2PRNWt2ARVKYSbJs0iHx19C6crZ2VWxvvZaa1W414A6VIJfn5QmwiAwuzkd4j
HTzkSU3nR31WogqDhZdS/JOx13ezBNQTcWzHpTEGXIhqPKsV9AKH4Us/ZLdjau2A1kwLosDMNFzk
tAlmJze6HoHWxvFieLO6jYbhseB8tkx08TgGw4NmtndmyxgkbOZNEXlnVnCit5jALPFldPB+gJka
iKanJAxTbVm6hCEN0d0GCZm1MtE6nB7hLmzNcFuL+qaz52c8RC+1hYd+JK7FZi2W9TOm5ptqd9/H
OGy01IyXpR3tFaXcq473WuD8X6hhDaO51G7ZfK3jxryrWnWjGOVlUAknj7Fxa0IwW7qRCsFoVK7C
yDzFTqX4RkoYPM5wFDrFptCm1zycx206hduubwBiRq7nFwquZGZf5VqI4jkpZLRaNlFn4+wePHWC
iKVhQ1Dn5hiTts8H0m6BnpkretFt2sOGddZOZ0KROIYIKZVNfYXP/x53TLRvciNb2dr4nsbeTUJh
zsI2WCO1bCSQOE/fhh5bft/TsxuEuumjEZFEaGWRsEOhRkAAmr5Mbh0mqItUU8B0VcQV66m0fILu
2zQcX+1IQPCzi4Kst4fXuj5pivme4utalmMG/1FSjixwRzPYowb8UVjG22kun4sPLhKAJEeSkiqQ
SapkJ7mjAkCtI4Mx6uYuFDSSzJK1pOnJSQO+NAFhIuJ3cDxs301wyLNkF4n6Nojqb0LSm2CPHSdw
TjbtPZXkOxkTszwVqwp13Dz3GsmB6gFCOZIMlYCIKiQryhmgRmVtsLAkR2qQRKm4Hx48yZjqSoXv
tOROFXH6PEoS1QiSKpVsqtw1SqCzOrgwwFX68D5IjpUjiVbFZB4iO38eJ95RzcP7MwidGujyoaEh
1Dda5UE30arYMuMCc7DWGBiM2vLN082XuVG/9Ro3A9b7u6rhA6O50lhamWh5RBT1us6dSw+RLjQC
jYnSoNDI3l/ho4OnYWO7jc5zbiIbmbLEs1f0xQylzWFxX0auuuvKFHMfkPadOVi3ehU8RQ7Nv00W
v+cD7qPAHEgpINZs27S/p4li9vErULYxNj0mrX93Sd93ScyK/naXJN5pIv/FzIqf+3OnBFIHEzp6
I/qp3Cj9sFPSmUw5Uu8ikmt9j7j/kGMnro49jdX/h4mVYf1BgbCHPi+DYkiM/8iGzmTg8zYJIhPH
GPJnBuoho7Cft0l5lZn4clz7Kjfmfl2pgbmk+uDZYUxbOt0jEKn7dL4OJgLAtbbSa/e6E+E9KeHU
x61rcHZJIUpMJ4IoofJmDOl9TikUZQdNsqFJ8IstcI9PQ7ir8mSrhgUPiq7E2N4EfgTGwddV7UUp
+uqLJoqYnttsWPGYCyAVJgDJGnsbhM2+GLDVJEb0mOM1LCbvecaPmFVuAy+nfp2S9NqLjFcSvU9j
P+m+LcYTBKnSn6KUbEedHLqOQzlByf5xUt2XGEbWoagoItEGi1lWldynXfaiTs5MoBlTaUu7NkSe
7VzrL32bX3kFBHTbuSVun3KGrj16e61kuO+i+NmNle2glo9to4R7R6+WXmv6edFfaQnMVnjQ4xRf
yQRUPXG4ZyT3tSTjwu4ReJ09XHky7FPG+s4s1zj16c7DzKrfyhpePLsifSakzsOvIqPczlK86ZeZ
idNSWA1j80THTWiStrXaFpXGkwUlFB4FytHOy2FbCqenjbdbDWWC55deFhXFyIQ76fdZtq3L7GuD
141jVMswvlE3jT1HHHa7C2HgrZqwPKlAYzZRgWs3xtieFVwvw2xqhTPiVPMFbEZM/zg2EXdelrj0
4IV4kn54xE9IxYp3lVfm0k4sdqpTQo1kRGW6s3SsGRqoiQc4Uy3y2DJGFDI38u2h1xZZSjl45rRU
ecQi91mIudliD8N4DjlOOK94xXdAIMW6a7HcqmhGJB2uBwfmgQP8wAaCMEkaglknN4XkI0R8ckpl
3FuAE2pJUMAZ4B5rRdtlbnmqgCz0wBYioAuVpC9oksMwSyJDKdkMk6Q0pOAaeslt6AE4dDHj3BkN
0Y+BO1AeavhpP26Z35ZryjWJ1k8MJ9JyZ+hU65DO+8bncShJ65pQAVISkMxJMCOzn6p6cgQTCd+E
pC+FoQdB8reUEWAiC/ugFUcKjna6DAlnpIVdUsNJG+68KITySZzYJlc8kC+uOuUeF91OLcp9R/64
tO1dqoZnwlovBflkO615U+fhaJJc5qh/6mSUGSvudZb3mzGIj2YHVYXMc+WVO036FSaTcXC0D02c
2M1kHCrS0gOpaVXGpzuaOoNQPA0yWN2aM9sqca5k5JoyrT3YqBsrrg4EzLdUZHS8QmLaCXltk9x2
WDl4rHvyFwS6SXTctmX7yJJ4CMbk1JH8jsLppqBHEGRC9Jhm0RovwGNIVtwKy21uxy45/2Jjyzh5
7IiTIQPmnDfR2MIdp8zrXEbQYTJBrWp2gLaewPBkvqtm2dIjt04T57GTSKFZRtoxBDwxGt86HWs1
0xJ9nDmcuQXjNvtlJhU/KChtpOQz0vJF021bmZ5vww7qKmcPsm4xh2COdh9pe10G77OPDL4r4/iT
DOYDFp1XDGYOHpl9goS7UYb4FdL8URSdTdL9gYz547k9DTL4H0sCgEQBKE1GQZq3qUvvqpGwAJdm
wFziA2I4ArHWHUe4AgYEAXDet7P8CMkmf6kgEJRtuDIY3Wih8jhCKDAggakpvELbAS4Kw0CXMINY
Yg1M+Aa1BB00mrUuJPqgdvOXChbC5HH8FdARUigJacHMkcnZg2Or+xqOQgRPwWqV656kra+bdxQr
ULY+f0ky53aWIIZCIhlU2AxVXpwUCWsIajproTdolb1xoDmYEuuQCNtcDQ2oB4ni0vXwPZUQCOxt
6mGCC0GqGqKBRt2aCjPCqYFHcFNU5I3Z29uhum0hTLSQJmqO+hPkiQACRSFRFCOjPEoQN7zmu3DK
HkUdAdY2L6ns8ARmoSf2xGNl3FhmyeArvIsl98K1+60CCEPM7q4BjDFnGgQEj7dGOys15IwIH33f
6bepZGqoiMPUkUlBWBuuK8M+tR8IDuRJcBzMuuIH6wPSgWH0oBdEXnJJ8Ihqe5HXZHpit+fbyYyC
8NbCbnhJiKdbNowbJyw8Cggtl9xJX6xmJa4Xeg8eLuyJoPZd/qWH9QlZLGFmOhPtIWW+rGjwHIkY
WaXYBhEIzTETLDG91++pEcqJzE7fioZ5K9/iRToVjEuTRlugq7orK8se+xLImDrZEltF5JJCNUdZ
5IlNIXweHnFHVOei1sRTojmEiK25UfAgDNZ1OxTw89wZ3XfITBfSFsBMjAZUH82aciQVtmeKetHd
dG2OycrR54e8Dm7Cujl0tU6izSh8PXPp99LqpwCWjLSFrxqtpUUrHTcdXW+gUsSXPul8LXWfQdCc
+oGIEtHRnIo1+ptxxbZ35BOmpetErzxZH1Sj2ZKpO6vW+B4kxgGgKXIw0DdupNJvFeOpmq2DE+en
IM4Mdsg5c3+s8RW+/o4lGq2MWEUTnBMGHVla3ohWjrHzeVeF9tEa463WzIswrXb09S6sUk2XsQNO
y06Ma2/Ib8XIglFO0zIvirsiGwpGE+mBQ+dOVZWTx8mVrRBslXonAtp702gXOvUhrMSjbRoHaIT7
xmClNdx16lZvHIxXSB7XY8BOYSJmMQfRquE0bNXiPY+8o1LAuuOmG8fu0HnZm22o4aL1il2pxjeN
nqxsHTyYyXzLyEG/juptK0FeolAUHz4OnN5wNROJD3rC8gF1Vp3XrkWibfNOf8I552eJNq7h1jHc
YRobcD/GRVbzdE+fMrouoKdCB8Fp4qVMprsw2ylV8uB5wcZw54vaU6iVCu1uGrCBJNVjyRyQk7OO
oN7HX4Om7P0R1iC2BuNqsNSrIDReRlXQ25tUdP05m8SLd16seuswDA59Or9Xk3UlKnqweb6Lo61z
s4TlYDFZYsIVTZW2CibbPZdauS9M5gkZ2mUk1OvMVI6g1yTd1li3Lfm6wIpI67d47aPJfrYGQmwe
TxoiCeNxHF2SREP5CI/vulLsZ11PgnUV108q6RDwOt06bfuM/ACv2g20rScfPTV5J1oho23YZImP
CeZUYahIQ2U+02l8qLSwXupkkZZ1k3NSpLmsnmryzfzblE5LrafSMB4rxIV8x8wAzrHojnMjV23L
fBo1vmgJdoplMxILqifzSkvjKzLnPkWz4EWiuT1WRE0ALxg0hWXhfmiCa6/NnokPmlv5dbfR5ogU
sppjWTSe3Yg0fmVeM0eMj55RwBSsdmGl3umAgefSUskvdQwyyqWap8c6RLdxzAYqQP4NqxFSjqFz
mHXvUlHuY074KePAPhvGVauLp0mrb7yxBo5VOVeJFl7loAwyx5wOxZg81Jn3bI7GDXb+8mAZSQFe
2KYUUJjPc+7tvFZT/ESNmcH0/MFKra1LCDek2s1+m2Rk0luiq2DGzVw1bkct0TlGNA3TWjebTJ1R
nGErK12Lg/mfl8sAFbOpn2ONJzGsfjpA6bGqjrpexOekwklYnNp5XHjm7Q/Hyst3C8GPUZCfXWmy
TkRehG5aREvyR5+H2WkwNobyf9g7s+W4jWQNv8p5ASgKQBWWW/TOZrO5S9QNghRJ7PuOpz8fpNFY
0sjj8Dm3vnCELbnZbDSQlfnnvzRNRIjvQctPQgs9Td63w/1/fxsm0R8w83+9jQ21QqICWCz7fx4G
fSFcpgBB4268D8WDZv6FouU3Px/kH4tYuVBV1a/XqnEnqyisLD3nAzfa3vGf//bvb8Pv5ApxoRah
9s+/f2AvAK2qsrPD3KGulfsXWTULP/QPfsd/Xp9fvmtpJTrwPdcHV2ctWyU4Q9hrCd7+lsbr//5R
fvNWJBpaC19VQex2f/kqUge8cJiL5EwSJfKiVnhE0gZyxTGMM/t/f6/l1/7lY/30tYBd/EhbYe+a
9baVpufSXIG/Keaudk1Nnfrtf3+j332oH7//Xz5UbscuqpxvbwQqnuMsGW45R5ajuPyLe235pX/9
UBBxMLTmdCQEY+Fo/yAzMVVuFBy8LF3NrZ8+9+NG+V/++8f53e38w1v8ervNjaJXglh3zp3n2H+S
2v/hdnZhc0Ndgn8PZfbnj8BGWLVSY28cUwEBcNPp/1C82JAJayHPGqa10Ht/vEi5ltPfW3pxnu3n
wb7qlo1P+xe163dfOjcx5Cu5ZJUsJgw/vgfpCmVOnmx2RrCJdHzZuKgbjE4LVmXmX9zJv3kvR/Ax
DB0aCuqVX65YiD2e6cYqP4fLTL2JFu36xq7A1HfG7dcv/x+O9/Kk/DnkeZ0+f3mrfwN48qofAE8c
NODCfAM1fyEpUdEkDD1OGQ4AvsDvgCeeWmjall0ybGFOU4rD99XwsjXWOZSWL5ZVPwHwf4OlB62J
O+6P0gDHewnTRBK4ULyNReb08x3ZT0MvW2kP53bs6Zba5GPRT7d20WPt7wbnTK/iL8Ss5OQ3mPfs
CuJVb2r+HS3luxaKLbCsBOknuDrAyB4vHMYzmzmMyNSXOkB5P6Y2TlRdfitxbdsJIhV2Q++fCKnJ
12Fpv3RmdGf188eQZ4+Rh/2EUcrVWIQZZtnlhVk20J7sZfHh5ts5Ne54r/XQYnFXsxVgtzKRCOsA
TGFwfmoT94HTEBgjCV7jxjlJujwhx3MYNPvCZvuMVv3GCIXYEhfEalH216MBBLCIQT3bGAdE+cmK
9ZE3z9XKhLp4wDAl8gaMknVcRLZuCyklAY3YdJB6N2bi7yyWnXglZu7eL+V9Td5yP7nrzjQ3HZs1
D3+hiFSS6TDrsVy1eegAxsyPyn3FW2pdG+OpaeBe9e2nTszRqozxq5Am3v/d5INo9TCt1Di99QJT
Vd3e2qaG84UIHwOdZRJJCeArDB00ylBY5n1s2Lh52Fe2xDisqB8LTb0A+B4h5zJRzWsLV4mq0Q+d
n9wYE+BcoKxbhyvkY7DpaQUZB2l6VUv31orESzLOwkPXqXsQkhaQc3jIDPkU01IYpT2sGMTltux0
xISjfcRb6J54nhyrRfEY9XHqDTk5I6b/UI71FZjcMagTuMdpSqJR+HnstfsSu/kxHG9biFvC0j7B
mvrCHlZ5Sk39qi5xbJoXWMFoqnd7mu5ER+5CJd0TX9PlENuMC5AA5DtwyMY3+DhDN29Lu2jWhiR4
CNzcihfj6cDezTEh93VefDZz6wlS1LQiuuFZdgP3lw4cmAWQf/q2uNT79NXnjnRrfJ+lgfFBal10
1rQvrPa11yByGaG5hCrvgoiAltmvIAsMLdtWAm9s1w29GrPmtRZi8TGZzsIbSB7jlos051ggqRA/
FJkZt61Vbtwywwshq90NovXywkf7fWV0xePYPKXVweSZeyJjGbgYBUIYMG2TM8MydApvpqF2D34C
xFjYzYgBIlCK6AaJGkMnLK8LAQC08h1kvnUBKqoWJn/ox9OmzZJqfuhVAeNB9aPT4JLgJ/Iu902g
ZUbAx0jGxUbq3R26SNLpJ4nDhsT6cQBud3C2x4xlBz+gWWu646yRZqcXDFH2JkP9D8ZhPhW9ipEz
87ilIbc0wT2WF441wfQYW2hRtg4cd7xzytHyCiC/MZxfIRJ4GNQ46yiqtmLo1jjCIoke2UvklhOu
2XUzINlXo5RLqgcSe+djpPJt6ChMTx1A0ZY0aQeHHACPdCyu06jblr1GbovWADaD6Wt9eyHDPLhK
k/EhkdYdV1ffVa68auL6eqy6Bzdx97Up81XgDy+NJR+LwvyUCRudBLYKcUqUUlXN8wLAPqpwIZzM
WbgCZ7oa/N718gEDgiRML8WAfR4aHhbzKKqqVj0xJ5PPUCF9M5P3aa4eyth+LKvolNbypYYluhKZ
fbZa98LqCgH/MzQ9sxoAIdpAWwlffxFjfOsY+SVfHmbjMYz7NrEfsr4feELMdqUGJ9wwZa+tWZPw
Kl1YzUm1LloepolHz575nKFxaIDLvChsbyGdHDpDv8Bw9ojG4xKjJcwHXJtlEnkqnt8TLmVGGfIU
GwWHzPSZcID2TQuJ8CnciqD7zo0g1oir3HfJX067aW+A0eA++6xN2WWYzA/aRF6MPk5fCDCL7ybE
Mqt6AFRvZA6XlRW1HVRfBoYIsF2B7X6WP0SOdYST8SWaCZ3AniW7H/N6r+XGA0402cov+TZS2ycQ
Cwdix3coG8PBzkp/7Vvdvow5HcqWnfMgvSZLudeAQwfFuiDAVLEWOs7mIg1ygELQnOYrK9L4ypD8
pyP6tgSmFfnzjujquaSv/w/RAq/5dz9kfBDM7ozUyKklyu0/qHI4lKHmNhj0dLGI+umivvdDzgdE
DobJ2gJzaCT/vOqPfohuyOVvzEVKt3RRf6cfWvqxX/shZL1ykdbBvsPs9Od+qK6aTKremM/l0nno
gC5e7aKdKdX0oMfVzl9URtTTtV92L6LzcUYcA0+M8tgoP4W7oz24fbUWajqpGZMNheUQgavQU4Po
bBFZNvnONXegvmJhYWwq7GyS0T0NprossmLnBO6+iw0gVsw9HYvNch3ksddaw52lim6LT+CbZuVH
zNxwC+hlcLKthNpGnIPnVGozGdAvMILcZWZ0EGqAUGs4j3ZpXgOFnhUSPq+r8x4jlj59TKxp54+J
CXzq3qRxcBcAmOUK8s+kcAYL0kIgx5BvQxHEp3nuyue85X0m1e+gLC85CcEKFdgeGFdsg1FnCZYO
IeuhSLS4EJUXnQiSjVHC+O5oQNdJWK2iVG3dKn0JumjdTvzqZd/suqrGaaSQ8Q6v4nFri3BbDMke
g9bNGLQuHUu4rmWqH4ypOJoijS50ggN9tt8rZykcfsKONSmgrgzWXaVH1nZy6nbFLp1P4dbyTDz0
IR8guBSzi2Nmo9IDC8srKzGh7Obtqmn9z03g3MfQ7A+RZu7l5L+B21CmMItxXIs6wlGKZB0HU03K
fRH6RNgmmbhnO4zXz6gOoNrjWgblLRq9PV5l9ipUNMDB3FSrImp8NLy9wGkyib0ydrcRAOlmDqNp
U/kwi1SQfKl1IOu+wpq91Wbj1q2Iz5lVsgkVQVVESIZrDcHith/oKBiAjQxTMz8n7EdTBGOIYTVo
TnIoHbUel/6vZ/TwQOviXVuotNrXTVDQuZMteKFb4WugFeXG8RP3Yi5DnDrT+lBXwT0LbDhirbGX
Wtmu6Mo3TdipTe8AgfZ5ccydeulY3wvqsifnATFn/6lsWJhByXvsjIpESdM1V71ffuqhzW/sZr7s
8vEyy4Rc1U5M+pxD/GMR7NpBnaCk8Uhoj+2go5EYlg4WLNcK5NmmwyLJYqsiyIm4xhH5kjS72DYu
UwsXP+G2n6FIn3uRPLgjvIAM99bAqODpkTq2ivUq2tRx0WyjMH92RXIKOUnHNAg3xCicctjvLZDF
arC118iPHkisIw1ZC4gaNsSrGZWP5BmsNYxQvRpfxee+VhtN156YljAGa52TOUJn0icrubES+bkt
8XjS7Vd7bo4sI65mHW4Y6S9eU6jzWBTGKa+zXSrY+JW2dTTphsjDETBuw9s+EJ2XRNNnw75PtI2c
nGMZEY3TxwQHhVG9ykvtPuptnSM/vcHWUIO+V9NTcIhbnQ/nbr4OSR1YWSYm5QOplVG80TRrPy8e
h63P8l/U+PNAXqMhc0/0qJidJWfEUqtO8q0buBf19hjskmz+7Fp9u22zemUh2lIo/1ItDuj0q8tu
mA9uGb1gbCc8X9fXxMW4iHrjuzZVL26N/APtAsNXZT8GGmGNeubzEBdE65hhiwaWWui5czrumtyY
sm+OMP9gEMsR9Ocn7hJmto7egt9ppXjh92NXtz4IRxfOv85I/YdjV7c/KBeuObtwpIQo9f44ds0P
AATwxVExfY8W+X7sGh8UZCxoXPDW8ROB1/43jl24Vb8cuwuzi/PdNG0JwId7w8/HbhTHYROymz2B
A3NbKrTSASI9SyUXWYSntLHS+9mucVIWpcHePp/mu475OaChvzRhkz8n4ZIOyjMsqs+xner69aA3
HMBxP5Wkuva5e86Kdr4IzC6NDmz4jXso/Zo66I0gU8h1tfac+aZ/kUyWIPgzSWL9LrLdVB7nYE6b
LwROWcOpNstaEYVD+hg22G+Qu6HY5lGHb6kEhtiJmJLlVk7U37bV1B5kaqDMJWwzoX8WU/d5ljZe
zXYViqNBWOWxrqoY3iy0rk04utWqrup204kpOqp2wpPan0vs/LG7e+4aiMPMBj7jhS3hKyR52F2H
hnoG2v3MpvVLbMGXAEHNVqWl3so2e7PcAg/BPqvkKyQkWB/slatgOOSzUNs20Tr8MQLL6w2B4mxI
Op3DbqDfAOH4qGvoS9xk8L+MESSAxsyNQ6j54SWW6qAzeg3MUHXjYS7LakfTVKxq9Cto4/NxpRxC
wcYaoo4L2sOXW66t1sGerfHRF2RHp3PxnPFr+0RyzHxIJGTryGB3J91wZ0dV5tWBQUTW5MSrounI
HcqTdem4xMqF2s7p532qk3sQR9aOOCroI02WMMdCQ8bd7ZPE5G6dDHPvERW9K3SX/StxwG1YD1eJ
ObaYNKIfctPFRhuwdhNrpXGmV0nucIM3b3PLyt9iIeuLrIryj5CqmV2jCqvAPj7+Myd8mxNYrPx5
1bp6659ffzcp8KrvJQuqKD8JRB7tpPmtLn0X1UAVNRwhsP5CpCntxWzs+6TgflCGhSgU4JugbV7+
x6Tg8vPUVzMLB7Pjv0cWpTD9UrEATlkLUjlRy/CGv5JFfeScpvKj6Rzl1+bEsGqQuuONrfswzsbg
iclgTmdgd+b0Fm0Y4YmptrIRR3hDmNJyR2CDNgN/kyz5HWx9Rs16ccPklHbuI+jjgznk77j6basF
O4hw60rLjOC/xqIWUgGEkV1iIoh94YI9JDMsAVHhYskaDTJl8shjPW9NNowk21YrgxnEKwz1KUk5
nKf5RfMdCJIAHgPAB4DmdQ0QErGvB6N17jIgkqIYgysf0ASdYulNwCi6A91kzAncAWAxp3kdA7hU
TnfoAGBAqn08TvNtHmofOyAaTFg9PKiuWN9tZxmy4rJtn5SaBlwHgAe5wrZyMEwm8sfTpf6KQOTc
JLoFjllNd7OWYZ7gmyu9bFZzBVSkYuLciBpHOw6OtnE19ZTNibGxBt/GRkGkRL5EaAop+6ia/B3C
n3jtLKAVLitrFxiLLOXZMwG2LIxN4XaoRzj6VbIKUEFAcOgYNbzuKzA2WjBMH/RhYEWOkXIVrmGV
iHBDTlVfw2INYprkMEjl2gcD8qo+uoQntUmaaSfScT8PvbXpcH314iDYIZntVzY4IbwK/UHaqNMz
W76VsTqlAvgNFzhOBWZMq+HGCf3uoc3zzxGmqb7CPhn5qJLNYeq641gTH27F+b4whLYJk1Kh2OlP
riDiNoGUiFHIx0laF1kJlJep6bnSVfUgM8xOM8lc0gNkD6A+426MYx89kY++KfL3WKgVq6Ayj6Aq
OsmGeIVOGhreOXMetR4TXavStoNrYL3do8xCz+H4w2F2FXFKRWlh65GTJwHYRujDLiJz1BM2/iyG
vzU7jCc1jKXqunucYVSlyngvTK4Zbekn4UBh9pMHPEyfggwQLoTHP7YOep/5U1PnGT8+3EOEtFfk
r2/ysb3IOpu7OZ4/9e1Etlj13E7RxlbGEf3LWo/KJysaWnIhoTgmAtJSWqf3NLkPoK69V3bIc4Wd
HLHR3pQLQNnaTxX+J17dWaca1xjScHbCJEIal+SdmHB37rrPygluUfFubT0/4xx5Hkvh8ozNBkIs
VGKVlV/OSX9lmME2yV8TVD4dzIxNM/i7IhqWoHaJokdN15GlsP/w+ZOBHqC1m09z14zkXRnPmU+i
sRIJZ1NDlHjKCoJdxb01M+qMRYpMtrbvCSw54oL6NDvhKXXHG9PQdgyUJFVX7qufiX3mOtxGdnWA
D8cN6C/GuePGj403FS/y516/5zb+ZLe4Ieh+cdVG1k3jmq/uPNWcgsN14UPdyxpdLksQmzznHOzM
ou1wWnhxKhnTazJkbxNiKBZKUXXw+1BsskknOsRyX0a/fU7S6trXa4RvtvLXzSCQoE2VyzCmjqQd
yuvZdHbkkoUg0gssWOb6F38BCgMQw7koLs05eNFBErsFUswWcLFNDDIRg9hryrDBaxgqHgEUb0VJ
TFtHRANhGOXiR10xjhDl6VkLjBkvgKYv68sZhLMF6YxAPEOQz3qBQMVgHiww0RFsFNwRtBy0tGxD
AYsPABXHsjVZdR1MWvmNzfDPoLJMDn9+5J/r5zx4+w04yKu+H/mMInKRxKLA+jVwWXc+cAgog9Pd
YXvO2vPfR775Af2HhZ0J4QZoNxR/9X1KMT8QS2TxDz9WgSka/98pBXIA1n9wfwxWpc4vy9LK0qdo
sIV/ql093JhzmrgYjdDEa2MljrndkKiuLU2+jMML8nefnACLgNKOv5i90mHNAcgRygLJfFOZgt1i
WZWbMY4YsFHeFo9E/RBMSkhDEyw6AHA9GlySaEuzfiZONnprO+Ejuc8VB1JDw51Dqcypj9sQoS7x
tmljuCt2Cv2WxRgu5YgyEYsz9zd+R4poEpUWxvpqXAIP6nfNCUaeafaIKvJhMBsUEUeHd7tIHzUT
kAqHeDiTU4AGuMaBGcpvORcgnQI4cLjRzfky7Nl7mtqlLNKDHoSHEVrZSlk1rv1gdPTuGD8YjQwv
S2ntRKldxzzzt6XvHNsy5DALaEMCKG2XeVPUK0Mbks1kxYhKS41NU9Wdx7Y5a8nokMcrhTdBo6VG
DJsQGTIOCFaroYQ1p/o9Mdu7KBV3oM+ZgmrX5tdalcwnUyIzrMptUFrhJzbZK5s5xG/8DK9igmbM
InwHaYpXLDSDjVE40Dw7ugUzu9MsNWxLh9PBrrAfrwFw0DO6JOZaHpZPBAaTQrk29Dw89wFZSxHh
lZ6JVrcdteLWYuvgkuaDULpmec0IUxqAvpF20mdz2xNMyV6mlA+Nq0MuZrVXU9e2IMORR6O3GtEU
4BFml0/K70CAdQ1U1csJflo1E3qiHx7F62/7/h85dQuq/QcLADIXD9ximQmSScMNAv/z+B2LcBCJ
28RXhghxKUkH4zmcuE4DITP/8j7+p/4tYrY/r3930RuJA/9Z/5ZXfa9/X0ceHcqeA1DzLTr+h5FH
KGgaUB4xw1toH/+uf+4HG4UO0jnMdpfyxA/8Xv/gkUCXWr7aZamxrFT+BkqDL8FPtwlYEDo7G/oS
3CX4JxhF/XybzGaYhUYRibPpsLPzsxkStf65CF7ph0gv4h6mFYLCjxqEbvFyWPqkGkaCRePU8Qxa
NFIpDRXN9Qr/AIDAJPyUY+Fe0XqZuXMql16ssZ/0pc1PadJmmrVW2TCZl/7NCDq4BPk92xFsmFyR
rirY92s4vE8+7R8RNkc1xRv2+c8z4iqdNtGQWrXCfPYiVPnGXTrJZI72TQfCENNk6oG9H5auU+JG
OtKGEjz5MNOWurSnLKvwLqBh1Yb8Y0UDm+gkuUhaWmzptjMtbuQmtscn25Uuo9HggpFHLLtNf4lk
oEVuaZUT8rUYWQiaoYmuGxroiba6GoyRZmWyD6QxMBP68hiLFOuTQduzX5a4xdT+vtOmXSHHg/G1
dbduh7K7Bd2uH1Ka+3Tp8i2sQwLafpGpI45UID9iPMHBJ9IksLWNYlhoexxNRsYHyRgBIIRnHoPF
pL82jBkB48bkKDzflglkdrAqWWaStDJPEJLfzGVacRlbsD/E7XiZZDTpb9tltoE6ZG3EOO1jxh7H
GTYlY1DXcM2CZTIavk1JaMUYmTD14sT07bjYtSpS45H8nMmbZSnaQ+EgsGxtF5q30VL6q0LU9saI
pN9vmsZs3ee0r4ZD3CqjXVsJoQXeaA4TykJgcGT6ZLkFYVWtyoUX0lXQkArzSx7Wlaf50libkE3Q
0RT82yDWw9x8sfxOrtykenegbXmTH6+nHA9Fe1kOByq5tWeSzWzTvtJCw1m16BjRi8JV0MJP6Sif
cmdk6h57ZGZJSIg3mguCLl/jsnk3pvFtbuvJ6+30MWDb6dFQnESP4DlpjGOda9EGRoa5AS6DeWQG
2AUkexnWT06i2i1ZrSnUTOdpagG/ODFjmvnhtXGYCxFMjNw5rYtsu3FWInaDUxogz39K+3UeBBdQ
x1/lCGU1437J0bwk8xEl+y4uyhvMD4EXGepLGZWEqwW7NPQ9kEIY68L66C94puJPHH34GMzVDUlj
q0kSBjM0T7lS7CEmjSAF256jNT9qXIYojBxCDSOG1NO0sKHrGOEsDczFxFXc4uQUHJIwPM5WfjXX
JekF5bvlAqSlsq9xp5iS+hsD9Z9zZSmzf36uXKdd9tz857myvOrHc4UILxTNXymDDi33D+cKZoAs
OwVe+l9N/76fK2R/gcVDvJYopaX+1YP2j3MFX1oD8Mv4niz+N84V017OjT/aj2/nCvaz/BZ06uR+
/nKuyDDIsfeb9LPCVCDZY5ppgCtVySnmPpRzc+OE80d6Nig0bbobAvejFoUYbXHHKu5l109ByLi7
ya2gLS/qG6svdq4Ux468Q4vnweS5mLu9irWngkfFDyAOBWd9eYZYzTorS0HZs3XkCkljDTTA8yuo
ESqTDoiDgKQnnAlJoDS1diuH9mkusv3w9enlMQZvMDfV8mRDwj/Oy7OO99wJCzqCyygDuUZgdlaL
t4gCMczGq7NUjGKpHbD/7rKlmiD1exom7WM9UzLGmYBqx3KI/XGvcmuajppMbpk9lqgj6tRIwaKX
43/0m3e6Q8n/2Hype536SZWLjYizeal82VID8YP5IpJPoA9hY2EUi4OvIufUWsIMfLut12CI1FL1
ta7mockOscTgEK3fUnn1r1U4GmukQHlPtRvzZI+bUAUUpnUesuVyw0gC3incRdvipFtQk+RgGn2t
r6yIjc0UDO0NomadD5bWN31hxnjx4J0PlYdLheOt19S09mEVk0mSY8WSVdanYq4ZfDpcWmUtHdLR
G+IUF1bb6JIT6ru+Qsc4TDf4BUhSiWKxJmJ9RchwceEiEvKgtEUnX4l4TQ56cxGSfLIbawYZFD7k
HVS4UOJYYvo7PeneDbdwdlVYdasq8YO9bmkvfcvXR4xetcFRBIOfih48Qgu/5yR4c7VCcewP2K2V
3KpAp4dUdM2qUHF67ZiQHvQmxxxSA5tyiWndydQkQaZv1A7Tpbds1N0d3jV4VdZaem3PRXDBlYOx
5Q/5s1Ms0dJTJPZku3NtBHYducFkaeptUq912wahwQ/zpZzIvihI7PQaxdq1dbT6OOAqdwyGrt65
IT4BZDeZuxLboQ1fnvT8Rr1HUOw9OYXkGElzt9g4YY83ZyjlXVY2tePIF5HBDYTtyqI7i2wSqBBO
VaXsN/ATdY3fMrfWcY5NEM9ccFGzMN8Pc5K3m5CII7EZTWdke83u+D3FD2nvYBF6U8CxXGPJ0hxb
fxaorkGIazHep5oeIHxPlZdzFGISUD2S6RqsxIylW+EOBfQD1kl986QF1ce0yGEksqLahBnAVp/R
zMTCxqJkih/1vLiOqyb6PLkoSY0wCNG/OljslKjE5u4myhERKws/UPICq4PbWW9h2n9mpN4OgUMK
rau9D3G7OAZFT6RVXmAu8Gm0BiLWG81apVm9FBH3xKU4dIn7XvCcasts1mbOPavX60oPL0pd2V5e
F1e2kF8My/3Yp9q41uvxup3J+Xbqel/MzR1Wew9VaPkb0bLurLoaA+kp8mAiTDvTAHWOc/iFDsE8
AxNf7YS3gcAyyg6Ihu1SszoqMT8D4tKT5cY+KsKLxPbPjjmctBHzwgkiOE8KBjE4IcMijFLCpRCG
v8QOPZ+VtPE+MHvEm7LDgBIO5IVFkIcnraLBkSh7cRtFzRJdjiyuui4G7Q5AfPGXSaKLAOUvkGSA
JfU0OPxK4L6TRmAXfE7L84shuMkQJQETo4bulodnFj5M5+VN21KFm9iP3J3Am+s2Depy7Riop6kw
3a6JLTjIChfMUurTZo7hSuMlllJh7Gk3drT2fhOZqEozuXHnGMOgWr0DT8zrRM4HZNJnBoNjZsaX
5BkskfHC2JkDrkGmKP1tQhLiNrSV2KU+zoQSX+e9YY1qHdMtR2E6o+GMjJ1hLmHDMb9tmPHUGgMk
ijQnZhLgZgkvpUoJ8oV3Q84nVXWv9mEPBayLdWunxTTRcQaPvArIIs4zmD2Uqc77esL/0+os8oM/
b3Vuo/4NBe/rb1DE5YXfux1dfljUNfjnC0lPAdbxvdkBX7TYDNLRAOF9c4z9vjckApUOB6QQ5h+8
hp9BRIkXn4OYBvwRnsLfYhh+jYz5sdeB6WDR6kC2sKzFg/ZXWY6RI5PtTEzsioqx91LDypGMS7qV
JhNr9MjJ2e0MM8GbwEflgMp03uoYotlwgfF4d6iV566oNGrzqB2Uys1Tx0GzHowmP4KWZ3fQ+odz
N8ryMo/a4gtEiuHCyIbkTuoD4ctFjDVKO9pvPiPWvpCOv9XjmrhDu2qLz2gjGNq1HnJuPZSedNNd
YujDek5z9ULctP6umdF8azRW1JE0h8V/PumpJxwQgNKqsDuNDdQCMVYlIe7rWdb59wa9xm1Xaml4
J2KVBA2OXHo1QxwIGSprYF2TEmnngcEbdgIzAa8HDK7DNQWmmJ6J+Otv6lp32KVg3c/SbSaO8cqy
SmZ9FVXxgxbPalnDJbaNG7tV1QivTZyrVE9AC85W5kH2GWgCopq1DUehJhrOactqrS9QquhrVx37
BWUFRgBwzRbsFZdsYFitWiDZKcpNczfpTXyY8Ixw18Usb2e96e29sSC7BRBvG6eUf4sovJPCvebg
fCWBzAsfZKpVPpurkBtzOGVuOuXaNwDvn4qwJA7/eUVY2E+XXdT8z/klasrfcaB+3C64H8CvYAC4
QJz4O4NufS8MEApMyoXJvS3I4RY8lN8LAx5T4BvYTKGe5BD/EV2THzCf4mXwlf/FnPobU9B/YGtE
MmPT6UrWHwi8lujmH6WBtQFyDPM5OKNO98AKIvlXoXMonX6asxbNrmNifA3OC6ufXQkX58f3yPRC
uGU6jVfYxxwgD7lb5NpxvbWz8TSatDpoO6ZmN8Nz2eA4B/lPbx11Z6C4IN0dkc7Jrm23wQHRr05d
rTlAa51pVSfL0kgVlA3WUmtBesXM8lNsinIQJZ7IRKMiPxe7cawwZcNSYzOQjberQ1ltmmKId6YF
ozDvreuYIkCOG4WwK3B8juBfIqOvi1jb5RkS4Lu8nsP3DEhpa34TsDv0xxueqEXY7qb810YvESts
wq/qd0Q1KOHLaqxuWhoCbN7n7azpytPG8JNZ6sdwDGG7pvg+JDjRmH21Q/17OXSW7tmtdtWF/aNK
zPvKbe5qbEnwoHy0VJZDza5A9iJ5WdVyE8jqEvsX9h9BcmDzGa2D0ToOlEVs7B2vDwoW56PAPwoB
TzFd1Eo8lXGMNU5q4ypVVOcaP9I9wRKX3SheQiuZ0ECg1JI+qRtOqtOnFmRmuu5mKsCEIFizLZXY
WbbjqHaMzvOxmspj72u7MUvIWo+CXZaqek3+CQTkEpp5dMqgNm18EzupICx381wf/Dq6DfEU3cW5
ytekxh7qGbPUAH1Y3ow1eZLZXVG3x9CkodEmYX2Z+qTBAioYVsKwtmPJrTrq0Ubife1pMISRAB3G
sjoNEgMzHSDIS9gicLji8BnE6k7JqcBUUuIblLNzRTnClOpLlt5Te6qsXmMXhEkRjuS7IhVv0upe
2eY4OPlZ2dF0iUTywkRFN2XuZGssXyOF/QkMF1vXLlwIezsIx18SLTzMFqbjuv3QwhYD6rI8hwW3
nzirztQvoTXc9Dk7ZDyscV3cLIYKmQXhfEiNnYOtIenOXHiV2/tG9B/1ZQdfqmARd33m5DkVAhOZ
qB4vVCquZ35or+enjM37LHVGW+3ZaGDpa+MBl/BL09f2rv04+p8LZ77ALcXZKoK9a1s9VJCB6B1f
esgAXeu0R4mVhDKm68CP9ZVpJLTTifsEF+DJZCPAgaxfuhJob5Bn8gpInw5X4UwHr+Zqi5nuvTM2
DzLpIc3jbaTC4Fr2S2JHhOF51uOmVSQHzlJWc73+WGrhveNkD1pJBGw+bO2gfDfs8aJytYtxJH+c
bvwCauIutdLOY3Bbm4XeHWQn21s5xHiKknMci8/YzYOTmClhIwV+XoZZkrMix2Q/apnxVGA+8qlx
CljM4zT5D1nrJ7ejD6A/jqnObO8T3Ry14brSFhciguBJbcEiqzI0sFoei8u+VNFVJ2eMzdK695tV
V1rLE8acBZDtYg3vVL7zMrNbWIc4u2qNYW36xrryCcPdgAz1oBRuw81sLik1XXqcHByBAkPdtoI8
P2RW1Tro/5e9M9tu3Ei77Kv0C6BXYAb+SwIESVEUqXm4wVIqJcwzAtPT90a60p12VXn9vvelnamU
RIIR33DOPrWzUdX0CJ/mvqgz8FNjhVu07pB0uMaLZYEkswa/kfiL7KkrrxyAWKewjnmxFyjDmVV9
M0iBQykzx3zkXN4j80FEdcbrOBP5M0fXKR4q0JjhLUyQb3JyvZRBjpOiEwsVcb/GCel6/QbJlw1n
uh/S/stux3NuLmkQhYSdoml51VIZUIC8VbOykU7HNkJlkxGO+Mz6rqRdghDVhaY/zwmGNXubNtr3
wuqnXQ2+JS2H14GRh2n0ENsS9jA99s2WtzkbManYz2rZPZmyfDbVCqX2lN5P+XxduuO+b+D/K2P6
HMXzIRn5iE7TaQiLXVSArhW5ddf3yxmS/OsUmzcVRlfHGJ7HpUWqBv/EBqc4GC6HhQDfYLh4+rK3
pVlDKFNrR7ARY50clFPvJIeomxhVw+j0UtO6Z1fKK5iTaROV9gM6q6teB2ZKlu0rN8GxCSs27ijw
IG31+yqNnk1iije6aPdmoW85bujQJ5ho/PZFbF8D44MVHF2pePLceqCQrLzayc46CSVZQc/KXnhT
aNm74ii+OSZ7CSVuQ2T8u+izK15rP1km5Daae2XI+barBT+m0V2lQtm3pvUWihowHirWfrgPYfvR
BiwBsQ7VpkjiC07kr1CwF57B2wkjhZ+8JCfXzHdN2DwUZU8fW1b7IRqaPZHWK+trJQhr8NmSNyus
YMrquE+1qg/KQqibyjDGi9DwOzuA9raZ076UoGEDRThnweiE2UDTrLYE9PvxVATMDD+SHGEdmZzK
y1hbPC/A+rcz3fFGN5L8+9Qntq/pRQxzddZOI3lUX7/UZ/+bTbNLe4WziiqEGQQm9z+WIGpmqkVR
hspNmgL6esrcb4b5d5fZf/oWa6X1C+1i5im2MjD+N6JBy2CfZX2e0stf/xp/tIn9oJ/wa1ir/hM/
mqn/6dfQNDljfkiisxi55e3z0gNGelAU/6+/DVvdXwbjv32bdelqrEAK5KarCPWXXyWqUsCi2RCd
Jcy8Jo0pDNeW5FEalxUOaXXw0czfYCH/tBLGXw4XaCX69//j5e//cUn/y3hhFR/jpWDCbuJU+LGJ
/72N0PgjlEGs4lmdrOv239sIlE2OYens8H9bwvBO/lymWLQRNB2Ak4QO0wgZ1d9pI9R/W6bQpjDf
IL/GJOMJyMgfnxlbjdQ8b82KbGlUOOhUVr0wccwTy4ONNkXqYQyzINfnQ1mUdNyUna+Fa19RIQQO
GUZVzvBSNofUVM6LwoTSIOMvJ97rmrT36pwm7dMsjBfHrTHgdpQWjtJvhzl7+A0N1y+ANKOM/JfU
vp0ixHykuKe12IIbg5bFqpkSnTgzrG+DT9DFsIvDGLGm6YDDEj0QS4LQlrQFkh2xEWY1vIQVxQVk
971c89NY6qLAxSQ2z8xJsfGafjwB4x8G8TisAWyY3EeNRLbeNdiP/0hpI64NIGzs1WuCW7NmuTGY
xEP2I9+tTD9c8nC285r9Jgtu2pw4uKU0wkO+JsSRXbutSjyV7JXzo2kq4zXoWne1SJee0aaP2BW4
hfJexayZnkmU8dbQuc24GEFvyQe6DqbHWfO4dnd1o44shUGPTgig9SaUG7LqpV8qeU3NIBrPXfNp
skae6jrF4zlXebAMCtkq5hUcH8j1w53LCHW99M3NMqp7W8dzN2fJ90HVT1G53CxaMXjgyHSGku1L
3iteKKvVYlZfy9jBfihQiUUEBigLXohqTSPsKm6juk91P9csVu3WbRbOMSVHN/raEm0bo3CCUak+
Gg0chiY61K6sZhplV4kCa19yVnN51HVu/MLojs3AMxPK7tIkVr9x4Nx5gtpra3ATdhSwXSp3DRID
24yzoHcrxWtgFOMpKf2sVnZtqlyyqepOCz6gjQnoHAapdcetcqJ/XYmdw+QZhWF7GhxONFwLoimj
7wACCtBAIyV91D1M2AKDIS1PkRG+zc0wB7ni7CK6bN/sxZPRYBTSGxu6EwKAprfQbkS3bDiu1anw
l2i6aTr3e0ssN21Nx2vYWYeoSdTNYpnXvezOSdU1ym1V2fnyOU95treLAr9M/cQOqWEnhyMQB+Cp
lFl9lfbua5WJO1DF3516xuWDHmyJgohVSt2NV26PNkRoxyqPb5KquprS7qYkw3YoKYuxvxKrE8rx
YIXmF62NTKlPdWOXyNDGElUOy71mLaeoacGp58kYkGZDEIdu8X2NXZ23uxFj4haZNYsa/dKarx1r
F2Jf3ccSuAfW32OrtbA4e/Mwgh6I6uUiF20fDgnCEFPecthtWnTVGt4/6i00amETXnSAvKgyaYTp
XSqZ3NmqvcZW3S8AP5jN05nEIBA2WosZ0ChIDXAjVQ8QuiWBnlk7tG6kGVCQUNPEDgEHbIEUyZMD
j5rEQeJMNgUBtUD0X2yj/Kpa8b1wNCg1Vf604PsyVbzLE+sY39QB74o2tDd2Wn9zpBJeY9o+wfXj
mBDiUlQFHwa7Uc9sAz51TMZbsYyfsgNcU1jTHSvQ+qCXwxuFb9AY4mVO7BNclcDtitgvJj4vjtEZ
7CCi53JCIEiKFdLAeTeEAADr9uIm5HJaabB06GXMJrxJ0Vj7RBzsCQNxr/CZPToy9PnOg6e7xoNK
MOwuNgGVLI1ab+spnbaNop0mPgYXu3LvzLnbkzgAPSMfWG9B9dPqVN0klc541e59flfq5Qy+tgv2
O26QAvVE521Al21Vp/qK3I8EUVXX63cZrwn3AFTaiMjPPncuRa8FAhwqR1hmbOpwRfQsIwawId2h
pAHDmuYu82assfxzjoM02jTRf5rRTZyiTKEBG46GoqKoitR5b2rT3VTmvlrUSHGqhNQnp9wDOKTd
pjI9TMCsQwWGBw4FBmmezO030S0JHHT0J5NhMsyYAiVu7rUEng5adC+KLYmpY4XORN1HpmFQVjp9
h1tr2QxNc0IO1vLU1PfSnK4ZnaeENDU7iSXZzOoberf8UKsjaPHpTszVFgz7TPlrH6vG3WPjHR/i
ZZbBKLXPzIVTSR7mLf0B1JKcOe2PGu6fesqg6P2L0Wz83vXv/65LWb/q56ZmHbsC9gc/RUae+8PH
9XsppcOJoI5h9QL3z/nFlfojpxJgloMEAhHFj2Htv0opJCsaB4614iD+tfv5G6WU+UPP+Ouuhipu
VVaSs27iBWVu/MdSSlu/eZ03OcAGG3KPITucSuMTI0LM641yrmMGCDzIpyxHzdfOOKZn9qIOmwEf
tM4nZyLtnftAMiVAVLUBrKC79aYDGF85+t7JJdyacMuKdj9yaRWAFDYj/Rki0NfO7NFPjNzB9MPd
xGfcTk9QTz9tpFyjq297BUPErNanZjI+LMar0QyQRe8qKD5JIfdp3e5b1z12TJtwfgULyFuSzDB+
mAN02OrRHoebUYslAz0j2cWL9p6jzGI8/RKDcg3sMJSMTot512JHQQTIgMuwuitzYvrqELXUa0y2
9HSbxek9PrGaFDpqgqGebksyYjedUwejtZpS+OGORJVqHvLCxVdKtdwo4G5cPf+ODKPezRoqmyTi
MFfm8IE4oa+8lpMvSmJAyi49ZQYy9wQ/KCqGOvfAhpmePVUzW39ny+4LbWfP/HLMH7leFUybJQdQ
dRvjSN+UjnulDgpIZbM/uaX20HCXUhTfJlOibOU6VqKT24nF+VKVdcyplbdkDBcbw3Ff01S9I0RK
QTBZEYYLAIjoA/1hKZLXDM71mHOrJA4SUD0BGQ/BPG3EF+JWa4/txvC1RM5bVDcRXhudrIj4OU75
+SOgAZuF1FzPgj0rLQZNdakbW/K2Pqs0Oyhd7o8RcIWkQyPeq1SgCd9HTB1aRbfcVCXZ2XNxN7Ww
KSqnhkerg6KN0IU0Ja6ofsbvNrKO9gADuZzKmbErKnmuKofJTsj73lEMqlOzEUX9qsrkuk+T6zaB
J6xEKuNai6vL0FBauB0JEgWpTmR417tQr25wIMPmNu1DrpCKGnXJjUirVwLAk6DJV+NT0voTBCUL
LexmHMguUvNh36jiommdV5vjahzG9BzJQ1fWj1IZdlVXnuKqCgxrwmZUJMRLdoMLoGekhshjmgwx
vDAs+uwGjcikaTcmNZlZZZNvSqs6kynE0Me+VM1Ibrc73DtZHvQw2ZebfjiFShLMwj1EU3lWzfKi
DeGeidpZkcxThzXJYwWCS6iisooXSl1aJguILg9oEnqWgsKsgRhSlfyjZWHWHrGjBXU6bPlCDF9I
KjN/KnTkqvX6Uc26b1PK7KRyvux0kodKaSDTYb3YsWg8xCpjqAWmPVcXSVgbp3SnHXPUaGtOeuih
+xkDV3GokJjaRlOM9TLM0qAYjO8S+mUg4+x7pQ8vzSI/FntMt1UH/yvSx8ssaRVYXZK21Fv9luNo
0D0meaCVoR33R86eVVNWc7NPTaOhCukPZgnIPNAZp5qPQDQcZxcbLfNrsr/4LDUlIg97apetI0G7
bJ2ScDI2rJj49wYmEVIQdNIkb5SymOW9K4h7uB/dVtGPcpLVcTTLPH5BzqYN56yv91VE/VGncCgr
IzOCJIGN3SBhUdvorgt1iCfZdGUYpQxapZ12jmIdTQKsfRpcA8GL9dGgAGOZYMH5SI2XTEEeF5Ot
vVHFYl3pFQ9zViK65q9jEjGrtzo03uO01fzeScmxWshTcmNqr3jFa5UjU3GBpKrtSXacs+k0E4c0
JW4a0H6cjLK9VUJ5LJzqjQr4a1F0b5zI2OpoXCmOSabv9OmKUagpwMcRC/eegEO3khAql4bChTbf
3vT9eC+09Cbs3GslnV/zWPtaVMG/Eplf2VA8lYIwtOUKzTB8LZP1RNTeZWuTLmKoexOs+mMe2yeR
5egCpup9jJYD+jwm6cpkeU2yEEusFTeWvXL9TDfaCkW5ZXSh+SOZIn4yydMi5qNrTqHHq1Dv7ZKu
o2N7sSP0nLMdR6DtJjZOWEaWzOQe+sxfzOhZa0EWOEYa+rGSMaLO3JFv3kqcRO5eX1zVW4i09fWR
pLrRmapzMdUjCVTjde302oZtT7SJVPucjOWJWg8zC5wWl41QV3T7SPbvljvOWyRt9zObt+1SIPEJ
XS4QM5WPoUSeJxHcM4e4ShXy0Gy5vMjGjeH6WwbPAAmXQCsUr636z851HzmgA1Hn11kRr/GE+l5P
q0dGxTslsScPusqhGfXL4NR3rll9S7joNqotbgzBwsXkcwfEMNyFi9riv2zJUhm4Evox2qB/TVk3
ZQfXRME/RKVH7l6z68xk9BKjO2eJvFCJBKXWPw2Fuq8z/NeG1HgApTFtM4HNS6hOQ08Irh35WuzZ
lPdI2IcdkHl1Z9H1HHpeUA/2xVnUXcoosb8iL6/FVErX0E2PObkPbP24BDmyAiVZop0yqtDwXcsj
hprhCp+0Y6RqF0uFTKN0wC76UhSHRUN5NSB0YjnThOSuoIEwkkss0ydFELuolAxcOOQ44MxxvxQa
HwnTuWgwHGCdgz60qumjrKJnINKEtdofi6F/TJYI6g51Zha9oACzyAdMDmFRv4jK2etGez862lFP
yYrT5swTeXzU2vE9Ql0ube3TzcBvyOQWQybe+F7cl8Z6iCsmRD0SfP4puxEtUQ0jaPqLsjshdGGu
5H8ovPm6XwpvA3kApsiVq2au6NlfCm8bhyHWB4aSUNz5o39JIQzQbRgfTUG95hCTtc5T/3/hDS4N
35LL+bpORe2/M8MkcZvC+o+FN9JaHE0CvRV+T+tPhbfK6EhmrVVdplbwARuMERWnQQyQMe5jm5No
mLGnSzFiReIlO4q8oKi0iJsgxEhUL0kRdidUEHR2ut7cpxwce3OS3c2YhfX3umdzZee4VeLcnhG4
Yuv0alchfaqgCLx0bdGfmzQ1XhVh9YEaIg/z+CQR3lGG5U0W1S4i7viOoY95jlR2z1oUj7sFdM1j
78wmjgybj4JmylPfxfYhk2XVbGypZIFqEnGtS0G4ld5pn5Up8xdT5OU+MjucHXXYvQ8I17axcLC1
t+64s1NEW+gQ6tuRJIBckvTE2KT2h1E1iHhWoP5/EG8TG0cV4vs8BWx55Y6dtVQ+jchN4xuyTSQB
W2FXtmc7ply0I3WK7+PU5ZQfZYdGnEPIHm8cdM3oESIDtiVKXFa35SYf6pFVGFVEcrSUknIZ1s38
jfSipkAb6cK6CadXa8z191mxzQplhVUGtO84jCQR2v1YLe/rpJqJMPkAaJNRSCYRAuiwHqJvPEmJ
J8pleQ+7ePm0kumlVZqgjJIrZcW4Fio1zWi29V6px0jFoCLnXcYGlyOvn6+zaqoZ5rnZtJmKCnVA
MkZJ0BW9zph3AJfBmfxs2El+yF31UeeA3tcKW6FYjMPGhBGHDr6z7p24Lg69ArujFo11A4ZH+JiL
XMHYxKwewk4UVJ+5+02xR+VKz3t7U0/FGWmX4rf9MO0GRemm7Zg3Te8TH1V/2UoFsqEOS3T7zprn
vVhvEeeev7h2+jhR1l3bqZGeOgrEV5W8XW9c1tVtRpbkIiflyMMLYM9GyZdGbfgCM3x8LNOWDJ1q
Su4VsjAu8YDBvcTamfulYQwd20vcsQNiu56G0ez8iGQj24tK00KlxvFrMSvM9St7GvXb2WqJ5BCV
pX7WVb0ETSLYxnK2b/rRMf/Rq6q/ncWscf7iLCY4uvhPIxC+6veTWEN5tnoqWQX/C3r5y0nMYhFJ
qvZzmPHzJNbhYZroW/G9q+uaZ4XP/NwmOQhZdY50znfOUMHR+TdGIFTufziJHVMIPEBMYRzImvA3
tfWk/mUDyXg9rzORijMLXeQdpsOEH1Wr/GhTuR0MPnhipbwpISPeVHWfwp4YlXBlwZmm/a0v8nt7
pcSxNvNl38ONAyAnFXHoAMplK1muXRlzScMufgXPZbr6Nq4oOlAo3bFomkMz8DlYkrPeKwdifU4d
bnZ1xdnJFWw3EL66sTtnX8K8WzipbPwr/WhVXgUVL1vxeMzD7zS9f6XSVbC5lLdzpqgQ95UHZYXr
hStmr4G3F4XWMU9fckB8YwSRLzXTu25l9LVNB8rOPBYrvY9kut288vxEbZzjlfAnQP0tZn0zlPLo
dOH32h2PiWa9aSsb0JigBEZliCKK6izSlNcRkCCGPvW9nZlgjEAGl659SoAORkx2Nnj9G48h7uME
mFCuUK0KVGGWOad5ZReq/A4hMMNkqd+7lW44hFmyHfGEevHKPiyBIIYrDbFF2sP5c+7k+IYAhBk9
4MTJaXb9D5IiO/jNgDLVAbKIG/ScaSzUTPCLcuUwzov7lFpuADn3NA7xTqzExg50I7ID3EbAHB2g
jiNiq+0I5jGJ4TpzIWDdBHXdrCzILOtfTOCQ46rF7VdcJNhIkkEjuMDRjRvj2SxBSzKJIAMa2GQX
YkXswE9qYCjFyqOkEnavRkvWW9AI38vIvo/CeYchaNoyzb+aK03dSF35ROe8mgwDK+2f+X/7smIy
bAwO+wQNgUmc9hdmSPm1OxUP1nWlZmitSbay+Dz5+H9i2ovuC8fwPrVbUvQo0nvZRgF/8aTKZltX
koYsG4bNoHT36tDuUDC/GrPKLkNGm9oxGbCRfdhXleGXZXEr03gOmo58h37JvQUP6xzb6JpRQ2A9
brE4k1iZFiGIuVnfaVF1zEwjyF1QaZnb3hrZeJXGferF7XzTAkMTRnjsCZBDX5fY84eE6v4clz3B
t5GLuNDCy3KnrT6fCBVIodwKPNR3eCKoudUpCQjwDhDEYUXTwi8ijj9D0xX4pJhHisa+ssvpqbPa
b31GiVBX1a0dEb0VZ7cqE3TkYabHtNWvJ9tLdXvwASy0gWP2N6qeG/xyKAttW2FEme6rfjK2MUm7
4G7sxUuHDi8y/OW+mgLdmt8nC1ndNL3BbN4Kd37kjUa3kiqHOVGuyybexZlyKNkPEizjRSnhhOR6
p8UcZA42pwmO+mwsVzppYGrTovRCaaoVUzAUXGN6wnWaQHICFLOi6HcjM5uiLnhDnvo1fHWSAbls
3kDuYqJgOMtK25+Lzo8T96VIU/afbYzSDBQDgyZUsYUlCSJnh9GIG2ZoH90IFogsw3mysb0Yrq/X
88kgHQCZeY1gCEMTPhHeWxMtl9zLrv2Q7XBOJ8fvUuNBJBFjghkUTYbg08CJbmTwTAUT1QYvWKBm
4t6U4WdjdTydA7WIGwHLs4c9/vTJUxpzj9rzEgp2ijFqszQhBg/EoBcb8jTa5XEi7AzwHmbJyHnN
dYx50DslCOF2FjvIVpCHhmeh1YeQRQvaeXubpTnn31Qqm9qq7nRJFnuytCRS4uuO0j12Nsiew01o
LQ+MXtDj9behJq/aZkDihhV/wq69LFpgWe1WJzuU8czgd9izOIX1wDX7I1Vd4FCdei5ataYW3/IQ
vVqvyTc9cXKP8lg/IE26qOW8qaPoVl2ca9cB+7+Q7RdYy3glrMxjqkC2ax2h9FcS96BHpsTaNl30
XCFlfr5orvOFYYrhXO13jL661lEYLzUlMNz+PPf1pbedxymRsVeYJviywnRBrmj5S4bj1I/q4Svt
JDpg8ZTLks13dR27GJKQXN2xAmWG236Z0byVUq1v4mkKmnR5zFQNeegA1p80iK40b1slhDQs3FfF
ap+nZjqORcycXxa2p9dYyFUaYZLw4ol+YYyORr/u5I35EDYucFsAbcSL4rDKnoYcAoqvMiMPlKUf
PWdytrlIDkzI2duPxeITjfHdGHTpz0M1+V2rvrvLclYJR99SLkR+pKkBY7t0E+pkJvSEerh9dkLX
xXE5T4RuVMlzlWqXiggC9hIjsWwA/uPuA/qE34t1VzmfOwuso8b51dp4UFAHP06z8lRP1UOesP8b
S92vc1bhzjyehwwUpbE490tZIx+QqbxtGSiTn2ine2PNubRQSkxeoZKw9hs+8WP6n+iz+g9qMu2P
Oiycw7aF0BOxMRJ9usXV7PNredI1jmrMru6e1fti82IGw6XxWOl67vvDXXdCeritvH6fXJu70Y/3
VRBfmdE+PcW7f4YNPwpck877vxe4DxK51Oe/jxrWr/pZ4OK5QueHq4KiVHVNnQLzZ4GrAmtkUeew
AkNK9+uoQbf+LwUs2FmxFqC/rf9+Frhr6LfLm+6AfyQlhynE3yhwqWP/UOAyzABtqzK0QMxlYA0R
f3qCcDKIpmQ9ckPQCOllqGLpmohmzGjyxIDqvs3XrUnizVV4SloSkU11xJJZDpeiqw62Gyr4b5Hl
rdh3UHdHJmwn0rPHDfXHvRDZ94FJs6dUg72BsFaQSq2RabyqdoUVeUVHhOgk0MpSMXbGi9vgUXZi
1yCoizPYVZaAfEYFBX+MKxhQLX7LdgNq6AnB1Fs9V49DjBug6jsw6JYF0bA/lFP53LvKM4D0I2Jh
RiTJacjia5gbb13lFCtN8sL4nqiVyAHehuYfSYa1Q1l6JdXqtZjFvEWeypYSRLvX5CNy1PFx1up2
i5ksMIwFKUgKe9IYE3JTFec7UbKg7XLruuvzB8JPM8+JzK2ZOXcwGb8jpLkkpNjg3yd7XERpvw1H
5g318AK97iPsq9ew0c5cHx+0NZT2WRttZQksq7OLC+OW/Wr3J9D4LdcQfNe5U/sjuTtUy9XHqLoM
R8kqLmZ86LWmL/5sFADWm6H1mFVdE1MKRjG8LiMGOEndBnM1BqIdryLX3a868HkZsEWnn3bRPuhY
J7BwvRTRUvhiHYrwJrmihacyUuZpAsutNjUWiIHuFLvTV06Om4+AGyFUKDzZ0k0UQns2IvPO6InO
dpLswYi0L6lZA7XO+uWmlIGhy5eCUqGruCgs0wpkj6qdII50B1LjFRZ+Fmi1vNFik6jJzAZ1g2h5
IwyQG0sWCLtGa+6IXdPH3DwZKndZ866h7Bg9zbR8abAzbDAbWEnX7cKuPiZh0VwtRUZIZhrOa7F/
Z+eci6UZyMYgIHwJ4dRkeIZFP3G0L13Kac4TZzL08JyFh3jueA8LrY4IKF7ucejwXUuHzmkIQiHv
F0e/SkbWuLaG37hrQm6jHO0J/oYPysAXBz8iRN76m1AJjS+rkDSQCZ2SSPa0CQotW7wXsD19xc5K
T4hqZ1G+qAKnIS4fgO3xSFjr4HwWaXPN3gGgY5fWWyKXDlZErqwmCQaOCtClDekAq6CJp7HYgEX/
1knyEkQLXdRYEDcVVKNHo8xKf0KmHB1yzY11P8vGZyJ52wG7UhcnT7wMYX/W+jV710pMPbBgLJYP
tsyJPkdDv+gbt8272FOdwr5ARk6sy9wg9NabKXpNaF26nEdos+KIb2riWNHVQRSE4yK4hWLbje7j
RqyeF3O6xYQEl6JJ9O1kDzp4AYAA/uRYXXOQIOdw4Ceosz1MbDlhBDNg1DFHfGZNDcxpXXvJRsIq
T3lZS86ZPFb9ybI/RCSJxiLnoYUbMYaVu4a4GGZDMrVmRw+it/PuVSPhllWPvmjYMERhhW9YbGLj
JDT6iQ2cSVn/M5v/1zwIse1/vy7vmXB8tv9+XRp81c/rEkmMwUW0yuNXqjqU4t+vS/7IZUDjcuUx
uQdh/PtkXl/z4tbxO6hDl5xglTLp53VJXhwzdLHSklVmSfbfmgf9+3W5Yo81DX8iPkUmOH++LgeN
bVejuPOZ/UEXCCUvtx36q4x0eidsQFClEwEkg0mIshmW9Wkc5T1sqp3pZANd1oKjORbm9VSysR1S
DcEtuFOuZ+Hls94FmtoTy1GN1X6CJXurGeh1LaNXjsUcmQACqheXHDVPMcVHiU5vo8bLbZFgAglH
HHJKPeQbPUKOT6i4V1bDuq21My+pRmhgTsSmP2GNVxbabaYr+WEoABEXobkVbWzuFZvDiIVgd4AJ
gpfGtUqTTPjsjrrhc8ya+4qNQV2Mrd8KSzmkrGG5QnKa/N6tz0JygWtragf/Ssj0AOPoiIxC+t2q
jQtH98RqZ9PoWr6ZouFWZMtTIetHQGNHbrc3oYDgqAt+2GXUvNJJrw1z3XEwgllq5/viEkwHWaXx
HG0gCJ6wE8JWGk+RhCrEFsANLfzIWCow1q6CkL7EVpoT+u6XNClYPuh1iCO7aLejOX9bEu0Gvhj/
wVI0gWMMTkpvnEunOwDHYFrQkcVrEB5jcq9pUW2ruAHraqeRzoKzZKexO5Vr49oun4vDqsK0B7KL
TRKkWhtCcId2uJSUJEaBE5yiqd67Eb39qBnPtcxPUgF91Rj1dpg0k9PsM7StLXK+laIdrTj7L2lH
lW9n+BJ7Y6kCVfQ5gkztErYzSX0WeWioo5H4LO9OAxhIRQ3l4ZK0vNYgXw1hyGFgLZum1a0UhQBT
VY84KRFoNoEJycPDYbSTqnU7jdEzLlF30xcd+XR97g8Ke1uHJS2sbcLFkixCUz4vYm/nJe1E0ZH7
FTG+SRr3qQ7TS1ag9m066xiODjiyhhBrEGfvYl7W2Izq3Z5Y2XcT4fOdEi57ih3YaH2WbeuIuNxC
I5WGcL0a2UxkbKBG3Nshtz3YHm2vFcWpD1FPyjJDbz4tCpNS6DC6YRxpFG8tNX4tbT3clFNBYH1n
XReWtgc+AIk5cs9T2XV+rmiopWL1ICIm/FatIqgeQygV+XSuIAiwRcdEMmYfNG7PaaF/q+fxkhro
r9So+OSQumk1phft6NwMoym2qeMQEN6Vw7U7dxe91r+nK1MMMu9eZzE0pu7NpJX3RKGndNwLOXZM
fTvFjJgbpWlQrzqCPrReu6q5ZW2Wbxi/fKYLlqdZC3eLZGOh5Yq16Yx1FhKtKX4RivkoybekHD2X
Y/UMGQBjz2C8tyJ9Ky0GdGpfwXipgKMgkD3JynlKW+WoRsMVPioBpM7cWjH5egB6EPpID88+sZGu
8to3Mxu26rpqSTob7Q7+dmS/9IvWb7JId/dDjdm/K1x4TyoPHoWscdayCndYg/rl+z9d5G9dJE3X
f78WHz7j9/+0JjH5ql+uRZ17B/Dveof9cK7/7CK1VSlqYbuxHQYAPPq/X4srwcyEfunQQUKD/dF7
/rwWXWz9K8CfhbbNF/09qIepsnD508KafNeVtIlI1LHWW/YPcwhyT3WR82OcBxD+nZ/q+mNkin1a
lgoc62ircop55iotCQd5mMZZ3TCAsbbq4F71ZmZ5NZrPIErnB0epEDKnPI6lSnMFwH+byvoj0iYe
Wba6kO0tq5KKryvyqXPgUMxFOu6s1gqvY2PGvDHZvtVoOtzhoT1xkUvCpbQ4mGz1Ww8xTNBk7Mnk
4nOdqokH8ifbohW6m9XpFn2KddtAA8QeMjo+i2lyVllrUwWiSYkoojezy2FZ8FM5UxakkVT2agrX
P11JUY5MvqulNnHnrXmUfZkOjLWYt2IoIKZRz5i8hqV6DjXixSZZ8v9it9zbaq5uar79snKKWhtr
I1JW8LcrxQg8CAoawEak/p1TQEcTwKO+5U7rS+29X1lI1kpFqvrBRO+S3lVkdmPHPQ4KSQitRWIt
F+C8W2KIuy2gJUcy429/sJcc5bEGxuQCZULK6xzMZrm0Yzb7DL2fsYZ8VICcYOjbmxa0E/iGi9n/
P/bOo7eRJE3Df6Wx9yykN4ddYEUryruS1JcEJbHSe5+/fp+Q6ZZKrML0UAcuMJxDD0pSkhnMiPji
/V7jXnstnk8dZUCLCVSZ64cyplAG0SZTol7MCX5fFpqL7C7s4pWJlVQvPKUGzKV64TLV1BxNsZ0y
UmeTCx8qhWwE7J7wpkpNhgXDJBQtwrwqwGsaIRCGVirOVjYOV6hbEnxfwGNxY+lnkjDCSoQl1lhV
txxI720TRiiZpbPICxqA3ADJE45ambDWSoTJFgcKb1rhu5Xx1cfPNMGgJe4mHUkdM2OJGAC9Oc8F
r5CTSzijYHvU8/quhXpIQiqohKY85YKViHNCvUpdFcAbxiLq3HZuChbjWFRYnfG4LhoOJHgeCLpj
IJiPua4dSoIL6dlJONHsjIkAUXKAMKlDnNQEg9JxO2umhFU0bUzc8lIoRpU8JBPmfj7JBQuTYEic
mFznAHYEyXABc8TFIB8YE/6mq5DaKxidHdROr6V14dv9mQbpU4X8Cdx9Zkb2oQS+3KiHqHXc7sTh
mpVeX+WCP2pCJI0S89ZykjMYvmwJWjhMXUinkYKESZBQ0/rOEqzUrGffzMLcmVWWU04yh/CIOkzn
WZSfIA9dVFJyU0FzjQrvuKYXsVQgwAaI+1UIscTOYhArOLJl358lsTqubDm+9+HTGiYMDVPurMOw
sI5VJzkN4N7GgoSL2k5FrhWNlDNQdD0fsi6M3eCwgb+rwuNFgHEfC2KvLSi+JlxfvB1vm7I6UwUJ
2I8yZ9oLYrDhE+haCrIw2x3ataZeeDotQcccaTfALe5M93YUZOMih/Q+giWMgohMV6mnRomnOTxl
dyw3hSAuAxQLVZ26lAWp2Rf0ZodhnbQwnlWYz3VHc0oTZGh6rfo0aktzGcGUBi880mFOBz6JEb0g
U8ewqmXY1aOpXbtwnCelIF5j+igd4O5wiX0KZAn4nJ6WXqiCrk3TAFvRZlELIneR2i5RwXgFwfF2
4Xq3fnUiP5O/c3sVCDq4ayUXMfzw3gqklQ9jPBDUcQCPlQmXvBVxbwgmjQl58/HETHEjjwX5fJT9
E0wSwEKoxqZSGf/wRve6yDlRDIrIKRI09t4Pn8ochD+DiyQLqrsuSO8pdCpc3KRxWcOItwRnbyzG
i0GQ5cmkReIHDtBrwawRfHp49Y6TtHM9L1dY3lNGK76HzTE0fI1uKPkumTF3k+EOR8l57clr6s1g
0Qsavw2fn2LoRoXfP1oZf6pizdHq8xIFQJvZR2BfePW69XLkIYJwYgZoGuTFYCmPIzoCw2PN7lEW
mCgMCqXcgOKf1CgPRhjKlpAiVEMzAZO9z7D6wEwjOuhRLbgRpTEqBtnDHLPlIcA7gpU7P4B2Y09p
uMdYP1jXOVqIUTc2Uc1CGWhmRmSs8NfgjFOjoFA06N595ZyVDhRHFZUF2FNFyU7esiXYga0K9kmD
tDToxZp4JhLP4a3ZO8tZFvgNZo7ofIChzTPbRuYHF0ldlFV5F0TKlYFZ4YToxxvFqu+xaHMPStYF
0CF0AbGVK6wgCvoI+wHj5n5ROiUdy+yhDPF4Se3sqXJHStFQwWcXlOQ0jUKD+M/inD2Pvj4/63L/
qHZot2F1TMNHymZO0jy5IplTtoonzU/PwtCpEEG59CgJxFJyGoy6N/hzJ3Na7GJqzBnDBmeOmhXM
tY1TH5+OaZ4HSCWCbJ413nIghoYwxQfi16EJSOnVkI0+FjnhnwSlP5IsALk5SRaui9tEOPAduO2V
YuQK0koavaNkHRJvwVacoorF2tlCaDsOUNyV6swZ9ak3JD8iOcomdtKd9RZxQZXkHctEANNAyn/Y
UgrBWHfuu0xSZlKRINpKTVLX8G7IcROQMUm4KO30hNW8ctwTHdqAH+gG+eRoTg+xT3CK0yyOM1rR
ZSBjH00AUDtCkHUK//g/dfRLHQ3k85s6ugwAUIfP+JLBn/1VSKu4+oIQwdMUNvIfrIC1b8+2DG+4
0xvtE5EWlmYWVCP86ii5KLD/rqL5d1kmdwP5jwxF6J/0YqjjPlXRLPn0YFSH/wCB8U7vu3loCXqz
IIH3PFVyXT+p1IYVaWgCAKQDPGlVB1p8i4E6c/YRet+fo5gB9L6vdDEnNOthaInRy5ksJRLvQswe
/KtiwHDrVBYzSxJzLMux1gQLbac0dnGsEXPRz71TSczOtvVrjFmys2qonyQxgw2ne9LFnPYzzGfE
LM/s4KgX815zwhOJhaCUM2OaibXBr3GJweE0RptUPkkZxBtqzocW1ibQO+lQLDISi43f1coBPKel
ZdWntEuQL4hlySi6e/JZb+J6iCchK5dm1HceXLCFIxY1RSxvHvRf4tmdmqwqFj+FVRBf7gxeOguj
zQoJtnuWCWY1TPcrjMCKA9JBLnpVXiWysdHrZKFByq704EgXLO0SqK6Htg2Mzm87y0Qu7xpo3VmP
yCUVRG8I3074oHVIXeGAQ7l/LNXqrByDWwOOeKTjxQSFDdq4YZ4ToItUGEZ54gdYxdYS6iSJFDP0
6Vd4d55ij3Q6PhPSZdpWgyCpG4WdHIYKPFRDUNg7WT+XjC4+AtchmUTyoTD2ylHoI7rDc9icF158
glevPLPhx5sV7NsOkhGRPys7QxEiU7vlg+6g6yjswzJP1QV0fjIDod6XggeQD7G9iCy/nIaCom+2
bj8zBG0fCTsU/UFdYnD13YXZT4j8uSk3Z3KWdhNJcopFibapV1XRKIloyuNz0AupAMG1IBKoBxIJ
DKxUJXcBwOtOuqw9ktEa+EJ0QMH4EErlpdka5zDMDr0QboephhjgZBgj6UtHwVsmGs2bmi6RnHjf
KxQOnHwliEMqogchf2iFEMJGEZGGBTodFVDDym8lIZqIq+5GYq2e8KcxSlakFVqLxkJSh5mmmhgq
KNmPhLoUPDQ/oW1+Fum04+qhR7OBeKPp227WCz2H1SUkO4elPQ2zQH2JiasbRGNa2a9rNw+nckXi
ulaiE9Gi8LYhyT0ObrRawQxFKEqYa1MoqdQktVUv0qpOAZ0g8faK6k60TD4a8g6ZDWZKSYih64hw
Bc85fzakBf5KKjVvCjRMQoRJuItQvCB9ocpfRz3MXJ61K11bSQP7FW1UCdlMZlUzTehoqCRntp59
Bw3/IQuxTW7pP8pRvndQ4eDVcpoPA1p55DlGJfkzc/CFqX5x6TfVOtbxjQ6GQzsbcfdxID8oQu7T
o0UntgoUc/ihVuWfntQcdVl9EaMUqlvadPgKT0c0RJqDK4EiZEWGEBiFTSQTUoHoqKzrH7mUcIru
O3Ua99Y6KMo/aYADjGVIPlUhX+o721zVeNzSTZZsDDew2GBvxIucMqhFAVXj1H6gmGowZUE+qoRM
yqvoJPpju6qFhEpFS2X6/Rp2EMQ0IbOqi4q8YSG9qvRiaSbmtICyKMyArmoDt+teMMp7vyO2PFBn
OLKVTLqMKWGbJ3EJozLrXTZtDfV+4/akF3pXGIufZblz5bj6UusHrNMRscEsiS/dPD/1PKWYe7Ud
35VdFdDqbo8l2VKRToqJbYS3Fs04oLsumrOs6rhw+Q99CumcduW87dIVC/rloGdIBuUEdovaXOTU
lAeBYUxbFMELHyrVpK00ArNNiNl2usLcTZ9ERXxc+e1FYOjpgcoBwQ1Awq2sVGZ0ffnbtr0yzNBe
jmnzgNcFjfW8xE4+VX3y9ApacKP0w9Gp28kIDRYQ4S/SIXswNeZ2EVs2OLZNJdNTtkCyT3EWwuAY
A9c7On9CXIV+Khl60h5UXJd83BeJe1MXRp7K85Aw9DkNw4fGgXiT8yB1bjofaq88UPjKgRRBozsN
m6u6l705MgvGtA3MQ84HgOZ6cjD4VGwaEd6MUnvjD9FFx544qUM7Y2AQDRmW4U2wkeVxs8llaEIh
JBLyhlwaO6yR4SNIuDRwtO6Ix+0QuUbmDemyizIdnozMOA+9fNPjGgDoGuJ1Rkh8BwsfmX96jPtR
cYqc7IT9vz+wrHQpK8phHeflRB/UBtMp5BZFHMaH1VjcaCoTH7PkW2nQz+qgfuqKeO644Q2bvXwU
mGhG2f8PK4yT4OtdO2O01CRAVwsbvIMYZBaSX7d0DVrIGFEeZEL4AWG2naqW9Rj0mTRN8I+cFIKx
PmT2pUJPe2Zwmj1I8eWa5XkSMFca91Auh7Up8TDUfqvOoc9e9ykHXduVVoHnrcvQmnrQIg/6MF9k
BQyo1MrPswhPJVj/HknfxmMeooJo6uBel4G2wsI8p8XzPdNNlAsi49HTfoQyaIXWQpFS1dIHEUv9
uWlhl1ebdMTkbODxCwHclWAgMHBU7s2qPcWVJpiNOV9sKbFq+wOtEGzbOkrxcC2n6knEUWtSB25I
5U7bXrD89bpcDKPeYF8oEGw5WoZYG0wCGz8wWWSFFCrxgZnQByCOf/I9Ca2m7ZVzLGHkSZa07TST
B7ADNIODZN5CmlRIaXGNSVJI137Z3QCmcNgJnEnWxcdNpVDeN7QRPGD6qar7V7VpFbjp1YeNh9F9
Ijs3iDXPvbhzJtiAAEPlEu75KNomGjTu3pPiKd4shxKVExMylOH7VQ+5l5B6wn7OaLGFhMsCoAPE
KNh02GZIufnDlKFlazabQIJTBp6cPyzhwKHG6mM7lEcOO/nBYBmPOO8uSB4tST5RVm6qkT85tvqk
N6NbL0mqSdGX6sRuzEkoJfATHmSbs4yDw5utS9mB0oSr3ChRpDYhmVdBBhGP6GCMLu49CYeTpAuv
FQ4zB3kjXVqJQxJAkh3qTnfbU3MBP43Y7eVZOitqzZtgkIKXSlRwOzomdnaHJShsYJIaQe3sQVCv
CzpsXffDVMHveGb6GWL3udw2d3nL1PVL5SL2UppSg3aimQFwnBGWB/jGXKEpNSYGnV3Ky551ukxP
er1M56Wpg0fWjxBkIacH9W3R00pJGvlmjINVP8TXBB8l0w6nwsySMW5GiW1D20N2Z3XTLG6O86qc
pzK5avJQ1SyHMlHxZrhxqI391vQRuKSbMSlXowPa6ZXjoaqmd+R0T2sELHmL30hFlWdFLH1+wZPp
OxjlZ5Dtp0VjLeS+/GH6lHRW1t9rCTVfi6VlAL++sdJDFz94P0rXxCQ9hHVzpuvFKglqZQp5Y+62
SGCBdZc4+V32vjLrDRLq3CK7Ah5Y5rqDHpP2ixziqK/hzExg3aBhGUhAB3ETx2WfHTZBPokNuVVX
VagMk8Kz1OgiTkfzbsgC0z4tJMibF7FRYwE4CEMSI5f+46L2QnEwUID85gza8Owk6TZOIH/3dgiF
+CdsPywkKgq0Upkf/dXNkb9htqGYlqVyTP3ACbSxdUcOIyvEJvArghrxdg7F151/gBcI++FZiPhP
zqGmITh/f8sPn0Uv8CVQaavoGQWl4uM5VGkNmC9ZkpyNhr/S6LvoLYEfPXShMQ2zeWtQiBNNc6Ln
MYWMpi/lRlkEeX3mN3DYsZNyOhUTDEm4za66Kl9HjX7vVricpfVJPyrHnqMvR98s4c5lw8S3vPtq
iC9Q60YzM0nWyHrMiU5myoEbQ74ZofpAgMADKI7gwdlJjTpa848aGp3HKcRw2xeqBnaugxF9SOlE
DyaiWs1VgLyzs7w0qIOd8K5TWmFlAEJG8QdbCuOKSOmCMywonswso5AA05+MvkXV3UbKIbLn47q2
DjU3uaa63kDAP6l0RxC5rwHYM/xavUVmNkemARUqa80zI7NWcY0rsOMbNxp2iGNW/9n55rxq4YqV
CkVF59jnulMeEQ1yFnbRadjRFJYUl0mIA1FoAfUqpXTrCKe2jLa4bITHtPkJIyaUiz4G9EYjxgUg
GjlFm04yl0Lnzx6aoNE2xzq+H6d5cYFT2zxhmwXaPLMMhCxaT38L1noYYpECZ1pTMJqLpbtWd2/B
Z+dmw/HGocFNEzt5CAZy5iRZmyaEsx0ofXg6YH1/UETNhdy71KWRmXwv9ENzqOwaiMHD1Liw2lNP
tucuipiDxCD5cWjaK5/MCv5/MKf2iad1kX5v+BhuMY6TKGCT1rtsYQQyY2MrE7ZonNP4HsJQouKQ
7XiaDTZy8kG7DGxMFTr3SS8g/gWmea1n5qVEP3RC9Maxk8DhbAwLP+Ccgz9Q96WEEsjA/uvYyKi9
+yK8tt300cZzIHUTzI6ipzAtv3sOJFNYSBSG3NQyd5WORDOIgODc3gT4eq7puEoFFjqqLIjmedAg
YUyWxhihTGmXkUq6Rtr0yPlxLyG5NZ/qJpIn+Il3GUE9DjqSY99gtIuYAwH9AZLMeqXCp6bskbRY
9DR7tkhTcfITjJ/wRI44STRU3DJbYBYg1cLFy54mDa3IuMQDNetjGh0Rgo7qLjCtY0M3LtM2CyZW
4CQTSRnHRZJS4afEEs2dgT0PKsWfeVpc2S1fvNF508EYT+XGfXJbSZkSzXrp5PZlQ4Rnp9HmVFz3
0ILUChcIcBoXonkPn4jTINCP6kUVPHyIpmFRUrKMwxqLQyJjAEs5s/HXtVSu6laayhHd3QHljxLj
jgf/eRGMajIbokv8khWEMjgKjGspGtZ1a157fXsdxRhn9fZ5pOJxhtkDJwWV+k4LpO8IXill8fP1
x3ruD625QuIA2VVQQhGJcSqRhjXf67CC/YLveo5PAgDbVJX0jdpX5IxLJ71cp7PAHtIZ1JQ1lnnL
Ia9JaDUxXJMtKByIRQmZKCnC1aK7Sqwug9ZSKwtX9SC+ahyzujZOp13DE8i//1Bj2KCDEbsHZC3R
/I2lS1CZTZXwSOhmElB5WDd5WZxWMe5sJIlt8lw+s6RuXoWclSQ11mdwfNGQKLQT5bE8dhVM4lOd
b5sRPyJTCziEyFV6pum9npDAzWkZo5/AdsDpKNjiwVu6+MYsM4WsczMg9Iulkfp6XmBLPfEhMY61
f1Zh3MMhScZ+KdCuujDpMBzLzotKXoSlfp2PrJWZcqV4Be21EXqLnFlrz8tJc/BXKjc37QKZAHq5
uZHMUZkQEiHyr8CaSoOHOqrc+9Yc78saHKHSvaUXS7CTlGZGY574sLq5ym0lIQGH71eTYFOBv006
C+dkopUeKNpZKvJJ5jtnLHQLfCIwxNOr68HtvkdqfVsWNrqKqLnVHVhIitopIAAq0XpViCLL9o0J
ASIJpCSEzbGiHZZVeJWa2mLMG5jJkXLfReAYDuQnI3bCie0gktJyE+6q+r01L7pqNbp3HWigr12A
Kh0A432nbL4JMJg3lbRemGl2quagn3msVEs5NDcKC/1M6Z1zDqpMbeDXpUSgFcSsMZjFFr3nQNen
xDcdV3l82dIatPqY5Tcg1WdQrlAkH/kZPYrAa26tGsxDLupVUZ+StXFQG01w4CEM0vHImcaZEyxU
0own2EDeKsO4wNw0PAY6omMjlScOEcdzrCWjuVb34cEIRAoXiXO14SazLvdWBsjppDJJkDtQMg9A
ZWhgVtHU29hB4p90aY21APW7Yd2GGU5QJVIZqAvFOJwqoA0Tv+J7hv9lLj0b0heuQBnr18qtR0Qn
WokB0Uhrz61q/bC1/FNUbba9bvQBxkGP9aqf2yJCDGtAmP3zxFBO1Nw4ZDVamWgKIlsHLa3BwaRS
174HVs4K0RYAipW0pKw+JbLTW6a+vNEGeYO14gNbDq5ffr8cZA7DNm7Nkcyt8xkrTcmmBLQ/9gGJ
8Ibnw9ILEVy5NF9Tz7zDAbpdDArB9B2NpEKpMk6tI2owSYgtzSOPwc4fcE5SdPcSx5KlJHXqaVCi
H8hxkAmaRJlgRXPD8LOLK/EG08JVq3rWPC/6i7IyF6EN38xAtD5H0QBbsZSJnI/RqylFd5fWPThe
fGXgyW3Gxk3iFJClQ9CgMTrsdHNeBthdMk/AxPq5UufXVqY/srie106XTmKfRyAwi0tFKucscOQv
6cKRRsEn08eS1BqRfpo18r8wOaNPiIWq6zczAlqHWdnXPA8d9H/fHMk4M6tZ0pO+lpt6BWFMXY8V
aGPcYbbAAQeiqHlKkXtXlvlxb8UW52dppgSkkHX2PVsLQJV6iRDuiJm7tFRTPkCcIYgkwoIpPukU
ttpIOQ7c+siNs1tacHc47opYMeu2UvuTDIL3pAtwXwglBf9dw/uO4iKdKDBSx2BV6uUJQNM871Sw
nMC+8I2cPVoyb0jNOxl74trS4CHWDWzbwVsrbThue7tZDuXAwbE3TxKFTG0zYSGUkI8aAaifoS+j
jEBeeTxqSk2beAYybnM0b8MuSc41hIVTUDsJi3cck0iKw2RREOY7XQWeT9JhkleWjq9duaxgl8B/
DR+sjhrG7ptzK8eY0SlJXCTHuzpOipITl9ahpYYJClNyEcXkUjicqak53ZrJZcTQlq7NWlrh2JEs
SD4/dKi2SPzNNUK9xtahM/2fluBLSxCq96+PY/fNw3pLP5C/eTuKQSqHA6cjFUFQpcAqf3cUUzhV
mbJGLBYRTM+ctteWIHxzE5dSuOAo72gOCo/pt6OY/Y0cG1wd+dFzNug/agkSwPPhKCYEfpZmofJC
DOYYONYIAeA7/4G4LmsZ/1D5rIb7DSGF2Eeo20eq1DBzbCW/MARZvEl1aKeRW80z7EcnNZzyMjNw
oBM080B3jONSUM/1ZxJ6Zy5aWOmx3ecn5ShN8haiWG0/Km1EcyHpltgbuNPR7A4d156zJsvTHFVQ
U9ETTx1BRur0my4tl3rgp9eF5zUTL88fzc7GBDe/KRVd8J7xdzO94jEeSNLKKpDIouuWfd73YM2Z
n17IGv28UNfPJQ3qMH55s7qT3UnSSe5UUkqYHjELpFuvrcZ7dBObhIYhlWfekBeHGMeRdpVJl5i5
xudOXSow8nCkjjV0Su5gWVM3oFyDc4LrijtwCtThbzvaUxWYLCfFqV0HLH9+dBeo2nWdOflUCtVN
HkEqc0fvpkRHExTVYYMBHha8yhKd6hNStpRsX38ZOTg8yniXkFiRpN5RODrXSoi3nCGCUkpVvs4t
Np6RL6H2oXSTtpdO1NpYD03Vo2qu7nCdQXKdIyAtkCp1unwOz0OZ+m5wEThgsFLS2d1qGORyMpAb
LJMfLJMjbI/BUSuChbWwumxMB8IIIM/BWAL4WeQQhxDYDqw8JuILX4pCkhr8H+F/0hys4ypa2rB8
Z0Fa2WeOmg+LOLUJGjPJ7UkLB0fZcqMWKAYIj/QuJNG8GQPj0cGm7LQY1B9xZkAAxpNInuKB65yy
IRHwl5ZIDyKyYWqDI0mK/GblRdkZRHvacLF9hmU2rDKTk7k30HyLdKoTBZVdqZ5iu5ICEIwcGQKd
U0eD+7hiSIuwB8gEU/7TzP3vUYRNd9lAdFN90AcVc/LKY3BjcAi6UuN3K8AOw80eEhbaRtHQUqTS
hWLnP4APZo0PC6/o7UkameVErkvt0IyLw9xMVn1tzHRPOxuU6AwtWk94EjCnnIW3cufeGIlULaFs
ZBNfsm7K2jP42Oqxm6sVhzaOyhCSwgMIfpfJUK/kLlgUUXgZBN7MbOL7Ti4fDKfMyObBCHUA87bL
qJlipc2JTk5pJTC4hi6t4DrqC1MWduzOEIHlWsdyoTza6qhNq3q4zTUVqycln+eVABhqAjeHvj2M
SBDFhUI+7eLuwWesZ6aQN6RmUCC6zO80dCcOCggTJUQoJBE22ohaJuOmFP1CIZvohYAiCpujni4x
5EzEDulgPNWoLboCL9cE/UXhgiEHQpLBiWwRotGw0WrgnHGjoN1QpOqCzwdlB1WHg7qjFDIPPvDU
G9tu6qAAsYUUpBnly8rR/hyESARrpXgSCOEIBz/pkHoTBJtGTYu6RMewyUdtYgvZSZ7QccI0AjGK
K2QpoxCoJOzBpQt0EwrxSoKKJZQpXGz0P6gDq/FAyhC7JEL2MtgIYKjNYMwKGr0Qx+CyT7fa6y/I
a8WHxZAf8akN/98ou179mKfrej1LaS0NF82mHC43Fb3F6k0hLH56ntGQvc7+vV/6/YX+2Dy/8/WQ
b/77v9ZPSZBOg6oug8daCKKff3b49N//9QKkyrBbPuzczx/s+VP/9jrxmrtrnngHtmEV/jo4pYG+
ixfvQgKu9/pjSVGFY5sNWVkH4eS93o3Rr0bh9zf4Mpy//53ffvifB0FQfHYcBB3PZ25S1ojfEi8q
mA+DANisOpqC0Juf7OUgaF8xCApjQOFFBSVeIOofB8FiEJDRWS8Cxf17EIQvwI4PgobRgIxjlhA7
ihdX/HkMNFGxYk+4Dw/C+xXBwAHh37h/bvDvxYBvGHkMvoxk2269fYp2xVKh8SkvE2UfBmHbusiz
u+OTYIv2kkpDCG6ieH1aF2ky2WLl1F9OT/s3HfSXterFCOWvXesfbQ70xHSs4AzzdUn4NAji5KfS
UhPun3u4LpJW+u/MCXGb7ycFIdA2kizt5ZlHt/VhTWCHVOk0Egq9l2PAvv7ywXZ5EHBZQU+uy4YY
UV4/b5BAAFgIcrYWmbN7+CBgecvXtvOSIPLaHNa/lyXh5w2SB8FS6NuS0rWngyCgkZ0HAVNfUJRf
PQmUShYvdP17Owi7lwm2MNyENSu+6I9rgczdq9SKuA2I177OBuG5sPODgPG447D2/2JJUL+BFeBI
quzn3sC6+DPu+Y9PT+TIWAawoipGQrw+7Q2cLCC0szfs7ebwFeuihQzEUF/3R7HlfpoUwiCLpt9+
T4rdCyY8xyAeGUj/X56Hn4dCrI4ktBu2sq+naRFgtOPK4HxzAPR5Hl4H4dOkkIUJDW5p2r4OguCF
7TgI5jfTgoGmIc14fn0qFuiMUCvQ+tjblWH30pmyEYsfxVFZaT8uCWwOtFY4Wuzr3Ss7zwOsI0Q/
TNc/373+TaFRRozK67bx/LTt4Qly5zHQ9G+YPNH4A1J4ef30ILAgwibXdDQAbz9n4u3fUCi7F42c
DhBeGDo44tYVQTG+kQfM3kFlKV77Wjsqux8niSuWVZYG6/U4+WmbFOiLYyIt3dfaUdkdYTK+abjG
cKR+BRv5vj+skUwNUWHTUH8p0fZwUuwOOpvfuD3QEx308vn1eRBMfgausK+D8Mne9h+fInCqBXNX
aJn9GnbFgxqF9Ctxfv+eBOGYtGPBRK0AUYQtUX9e/T61H1T5Gz9kLxHc+n1eHnevHZn47BIW0oWX
oWDB/bAyADThXqwQK7qv2PPrcXcXyNH6pskm7gLma430CXLEmQv1qoUEZL+fh91RBu4UvA1bsJfH
YdvUMEWSC3XWnlaSr6v3Ls+D/o08a1Wz33aKn58Hxf4mOhHE2bycuPa2fPoKlIHWFEcn67Vn/3Pl
wFKJ9AgYWpDq9rKcxnF91/2C9YEvmyXyV+uD8k1smTrajT0dhFf4Y5dJ8dxxQH0kOJcftggs8xV8
DunmvxZW+zoGux8mbBIA6EnghftSQX6Cm7BDdsT/KLbFa28Xht3xFnISLCi1BoTb59fPTwWFA6pH
cRx/WYT2r5BUd4ccLOoCnbURUejb9/1xaoBPmjh90sZ7GaU9nRoiJ223mpr2hO48x1K8giufYDj5
m0F2p84hc18HYfeNAqGwgBkwn9r+PGD+ChJhYku1r9WTuvvpiuKIluxfxfSnRhVgA5ZDBKbK+1oy
CBR1t+lA5KFK9x5n/F8gcILJQRlNRvG+otKvUNAuJQNfNB4RkB1fi8ctjQksuiibnL09XO5eQWtg
sTQkSS7evlFSPtkGTXxc7vZ0YXytand4EkTzWhPeCW/Epp9RWKaDCdWDfKO93R12L5mIQYXRyrPw
ir1tmw4iJApDwb2uFoQBxc7LIw1LCmVBDvlQMcHu4gcWyql9nQ3ayxO6w2wAhMVWULDcfoFEMwi6
rMo09PZ1XdR23yEtWpbCg5NK4O1p//gkYP2pyiwa2r6WCdpLEbfLk8ApijOULuJpnl9blgTVoWXh
OPuNRBNIsOuSYFAQYWUItPiL2hkWNO0reJ97+zzsvkU8HyjRjr6tDJ8ABspGopRYOfd1edR3R1lM
AS0QcijMkcRrC7QAH5LHZG/LRn3nPQJGB7RWYDXtV6IAktgJqiRscl/3iNfNa5flURwlqZcEt+n5
xUP/8x6BiTddur3dKEVY2o61EqCCRhQXR8lfTAfoXWKY9vcUJaJxdhsEpgNcFZO2zC/IPeI8DbUH
XcDLTrqvy6Px8sF2mBSC6wWRgbLhdXncskeIwhqa094Ows7LoyZieoXdHaDj9pVBZnlUFQXbqOdn
71+Cn/+FX/pLmzvxg/jpWZVLiso28e6vfuFNjvr55+80t88Kuw+/KVS6L2/+t2r3fz6Kdp+5bO9+
+sZte36n179/vcXPb/7hzd7u6+0fl8GmXJePaPCfVcGvH/R0nSDr/d+Y/zyt3+sDhWJYoB1v/7Zd
YfzXivD7q2N7v3m70Ds5MkvK37f6Wb78r108WT9l5duF3l2cibPzxQ9EfObbdd5dm/po52tP1vG6
5Sup3q717vo877tfH1vM6tNXyhEEdPgLLp7W5fqPSVbV294CRGDnt5hu4j9Os3Lr+FMu7Xz9WfzH
NCt5eN6u9W78WY53vv68JJlp28UphXe++CLepOnbdd598K+Yrssmecjip/rz5QXJeeePfpjkmzJY
x2+X+vvTC9Ls7pfHJf3tMu8u/RUz9mhTbhlz0Qvb+VMfBam3ZSFQvmKuHq+jLWuYUJTs/LGP11W1
2TYmXzFBj7Pqj/9NvU282TYyXzFFT9ZPLMBv4/DuafmKKXqyJhxny7W/YoqKa+N+uOWji4b4zl/r
ySZ9yh6DbauXEOx+wfXLx83T24X+HndBA9z94hmf/e067679FdP0JNs6Jl8xS7k0Sd2bYcsn/4qZ
errOtz0tXzFPTzft+nPtaJCM+nYvO9SOZ+WaJeDtQu++zq+Youfx+nGzpXYU6OTOz+E5ho3bijuh
mNv54pcBpWMVPG0ZGWFrsvP1r9aPJUeCtN6yl2pfMUuv1ukfBxvCw7a9wVdM1Zc3KNN1+bR1IRMO
OF8wTOkf02DjbbuJr5i14ibmzIDHoHrc9h5fMX3Fe6yyddFs261Ee+RLRum4Cao/zh6CKt92H18x
mcV9nKzrzbbrf8V85vr1+o+Ddfmw3lYz6F8xrV/eYxJvf4evmdjiLvDvG9++2L/XVAH77/5l++ut
Z0IBp+9+cTCMrYP/JZM5qCKC7Jq3z/luYL5kLmfxelv1IGDv3QeGwmRboLmwMdn94vU6Dap43VRv
F3s3NF8ydQXMsmUfFsD7zp/+t1nvvzHP+5fQp+vfBmDufPWGlWDLFi80ZLuPy+9zU3b97N/5gM22
uSr893b+8PdZvGWdF6SW3S/9awPj34/JNlj2L23yZ7D2zdhw2599xKLFbzzGm3X5P/8HAAD//w==
</cx:binary>
              </cx:geoCache>
            </cx:geography>
          </cx:layoutPr>
          <cx:valueColors>
            <cx:minColor>
              <a:schemeClr val="tx2">
                <a:lumMod val="25000"/>
                <a:lumOff val="75000"/>
              </a:schemeClr>
            </cx:minColor>
            <cx:maxColor>
              <a:schemeClr val="tx2">
                <a:lumMod val="90000"/>
                <a:lumOff val="1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28</xdr:col>
      <xdr:colOff>49966</xdr:colOff>
      <xdr:row>44</xdr:row>
      <xdr:rowOff>15395</xdr:rowOff>
    </xdr:to>
    <xdr:sp macro="" textlink="">
      <xdr:nvSpPr>
        <xdr:cNvPr id="3" name="Rectangle 2">
          <a:extLst>
            <a:ext uri="{FF2B5EF4-FFF2-40B4-BE49-F238E27FC236}">
              <a16:creationId xmlns:a16="http://schemas.microsoft.com/office/drawing/2014/main" id="{FF41EA64-F7CB-4D88-BCEC-905AEF319D89}"/>
            </a:ext>
          </a:extLst>
        </xdr:cNvPr>
        <xdr:cNvSpPr/>
      </xdr:nvSpPr>
      <xdr:spPr>
        <a:xfrm>
          <a:off x="0" y="1"/>
          <a:ext cx="17139086" cy="8062114"/>
        </a:xfrm>
        <a:prstGeom prst="rect">
          <a:avLst/>
        </a:prstGeom>
        <a:solidFill>
          <a:srgbClr val="9FBFA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lt1"/>
            </a:solidFill>
          </a:endParaRPr>
        </a:p>
      </xdr:txBody>
    </xdr:sp>
    <xdr:clientData/>
  </xdr:twoCellAnchor>
  <xdr:twoCellAnchor>
    <xdr:from>
      <xdr:col>0</xdr:col>
      <xdr:colOff>0</xdr:colOff>
      <xdr:row>0</xdr:row>
      <xdr:rowOff>0</xdr:rowOff>
    </xdr:from>
    <xdr:to>
      <xdr:col>2</xdr:col>
      <xdr:colOff>446424</xdr:colOff>
      <xdr:row>44</xdr:row>
      <xdr:rowOff>7697</xdr:rowOff>
    </xdr:to>
    <xdr:sp macro="" textlink="">
      <xdr:nvSpPr>
        <xdr:cNvPr id="2" name="Rectangle 1">
          <a:extLst>
            <a:ext uri="{FF2B5EF4-FFF2-40B4-BE49-F238E27FC236}">
              <a16:creationId xmlns:a16="http://schemas.microsoft.com/office/drawing/2014/main" id="{9C5EA5A6-67FE-40C9-807D-3D4FD624E5B8}"/>
            </a:ext>
          </a:extLst>
        </xdr:cNvPr>
        <xdr:cNvSpPr/>
      </xdr:nvSpPr>
      <xdr:spPr>
        <a:xfrm>
          <a:off x="0" y="0"/>
          <a:ext cx="1847272" cy="8135697"/>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56060</xdr:colOff>
      <xdr:row>2</xdr:row>
      <xdr:rowOff>47797</xdr:rowOff>
    </xdr:from>
    <xdr:to>
      <xdr:col>2</xdr:col>
      <xdr:colOff>96165</xdr:colOff>
      <xdr:row>4</xdr:row>
      <xdr:rowOff>73464</xdr:rowOff>
    </xdr:to>
    <xdr:sp macro="" textlink="Pivots!G4">
      <xdr:nvSpPr>
        <xdr:cNvPr id="4" name="TextBox 3">
          <a:extLst>
            <a:ext uri="{FF2B5EF4-FFF2-40B4-BE49-F238E27FC236}">
              <a16:creationId xmlns:a16="http://schemas.microsoft.com/office/drawing/2014/main" id="{B92BA267-7CC9-7412-BA07-033D28EC61AB}"/>
            </a:ext>
          </a:extLst>
        </xdr:cNvPr>
        <xdr:cNvSpPr txBox="1"/>
      </xdr:nvSpPr>
      <xdr:spPr>
        <a:xfrm>
          <a:off x="56060" y="419504"/>
          <a:ext cx="1443300" cy="39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3021A0-C1D4-4A71-BF0E-240A8433E56E}" type="TxLink">
            <a:rPr lang="en-US"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rPr>
            <a:pPr marL="0" indent="0"/>
            <a:t>2,400</a:t>
          </a:fld>
          <a:endParaRPr lang="en-IN"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56060</xdr:colOff>
      <xdr:row>6</xdr:row>
      <xdr:rowOff>156278</xdr:rowOff>
    </xdr:from>
    <xdr:to>
      <xdr:col>2</xdr:col>
      <xdr:colOff>96165</xdr:colOff>
      <xdr:row>8</xdr:row>
      <xdr:rowOff>180341</xdr:rowOff>
    </xdr:to>
    <xdr:sp macro="" textlink="Pivots!H4">
      <xdr:nvSpPr>
        <xdr:cNvPr id="7" name="TextBox 6">
          <a:extLst>
            <a:ext uri="{FF2B5EF4-FFF2-40B4-BE49-F238E27FC236}">
              <a16:creationId xmlns:a16="http://schemas.microsoft.com/office/drawing/2014/main" id="{D015F9DF-1F93-9F63-DB60-33EBC40D2F37}"/>
            </a:ext>
          </a:extLst>
        </xdr:cNvPr>
        <xdr:cNvSpPr txBox="1"/>
      </xdr:nvSpPr>
      <xdr:spPr>
        <a:xfrm>
          <a:off x="56060" y="1271400"/>
          <a:ext cx="1443300" cy="39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A1D7E6-654D-4FEC-AB7E-6C2E633999C2}" type="TxLink">
            <a:rPr lang="en-US"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rPr>
            <a:pPr marL="0" indent="0"/>
            <a:t>11,997</a:t>
          </a:fld>
          <a:endParaRPr lang="en-IN"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56060</xdr:colOff>
      <xdr:row>11</xdr:row>
      <xdr:rowOff>77301</xdr:rowOff>
    </xdr:from>
    <xdr:to>
      <xdr:col>2</xdr:col>
      <xdr:colOff>96165</xdr:colOff>
      <xdr:row>13</xdr:row>
      <xdr:rowOff>101363</xdr:rowOff>
    </xdr:to>
    <xdr:sp macro="" textlink="Pivots!I4">
      <xdr:nvSpPr>
        <xdr:cNvPr id="8" name="TextBox 7">
          <a:extLst>
            <a:ext uri="{FF2B5EF4-FFF2-40B4-BE49-F238E27FC236}">
              <a16:creationId xmlns:a16="http://schemas.microsoft.com/office/drawing/2014/main" id="{CA97B76A-E3DC-4991-8D7D-373605FE167A}"/>
            </a:ext>
          </a:extLst>
        </xdr:cNvPr>
        <xdr:cNvSpPr txBox="1"/>
      </xdr:nvSpPr>
      <xdr:spPr>
        <a:xfrm>
          <a:off x="56060" y="2121691"/>
          <a:ext cx="1443300" cy="39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9878D7-C6AD-4201-98DE-0F44D7A68A81}" type="TxLink">
            <a:rPr lang="en-US"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rPr>
            <a:pPr marL="0" indent="0"/>
            <a:t>$649.0k</a:t>
          </a:fld>
          <a:endParaRPr lang="en-IN"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56060</xdr:colOff>
      <xdr:row>15</xdr:row>
      <xdr:rowOff>184177</xdr:rowOff>
    </xdr:from>
    <xdr:to>
      <xdr:col>2</xdr:col>
      <xdr:colOff>96165</xdr:colOff>
      <xdr:row>18</xdr:row>
      <xdr:rowOff>22388</xdr:rowOff>
    </xdr:to>
    <xdr:sp macro="" textlink="Pivots!J4">
      <xdr:nvSpPr>
        <xdr:cNvPr id="10" name="TextBox 9">
          <a:extLst>
            <a:ext uri="{FF2B5EF4-FFF2-40B4-BE49-F238E27FC236}">
              <a16:creationId xmlns:a16="http://schemas.microsoft.com/office/drawing/2014/main" id="{305BB018-B838-41A5-A05B-47B9183F69E2}"/>
            </a:ext>
          </a:extLst>
        </xdr:cNvPr>
        <xdr:cNvSpPr txBox="1"/>
      </xdr:nvSpPr>
      <xdr:spPr>
        <a:xfrm>
          <a:off x="56060" y="2971982"/>
          <a:ext cx="1443300" cy="395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18B91A-D7B5-4C01-B091-5FBF637B6EA3}" type="TxLink">
            <a:rPr lang="en-US"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rPr>
            <a:pPr marL="0" indent="0"/>
            <a:t>4.0</a:t>
          </a:fld>
          <a:endParaRPr lang="en-IN"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56060</xdr:colOff>
      <xdr:row>20</xdr:row>
      <xdr:rowOff>105202</xdr:rowOff>
    </xdr:from>
    <xdr:to>
      <xdr:col>2</xdr:col>
      <xdr:colOff>96165</xdr:colOff>
      <xdr:row>22</xdr:row>
      <xdr:rowOff>130870</xdr:rowOff>
    </xdr:to>
    <xdr:sp macro="" textlink="Pivots!K4">
      <xdr:nvSpPr>
        <xdr:cNvPr id="11" name="TextBox 10">
          <a:extLst>
            <a:ext uri="{FF2B5EF4-FFF2-40B4-BE49-F238E27FC236}">
              <a16:creationId xmlns:a16="http://schemas.microsoft.com/office/drawing/2014/main" id="{69B973AF-B4D6-4747-A08A-2DBFDE2B0822}"/>
            </a:ext>
          </a:extLst>
        </xdr:cNvPr>
        <xdr:cNvSpPr txBox="1"/>
      </xdr:nvSpPr>
      <xdr:spPr>
        <a:xfrm>
          <a:off x="56060" y="3822275"/>
          <a:ext cx="1443300" cy="397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1E8DBB-9BE7-4969-A55C-79BC679461E2}" type="TxLink">
            <a:rPr lang="en-US"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rPr>
            <a:pPr marL="0" indent="0"/>
            <a:t>2.3</a:t>
          </a:fld>
          <a:endParaRPr lang="en-IN" sz="1800" b="1" i="0" u="none" strike="noStrike">
            <a:gradFill>
              <a:gsLst>
                <a:gs pos="39200">
                  <a:schemeClr val="bg1">
                    <a:lumMod val="75000"/>
                  </a:schemeClr>
                </a:gs>
                <a:gs pos="0">
                  <a:schemeClr val="accent1">
                    <a:lumMod val="45000"/>
                    <a:lumOff val="55000"/>
                  </a:schemeClr>
                </a:gs>
                <a:gs pos="100000">
                  <a:schemeClr val="accent1">
                    <a:lumMod val="30000"/>
                    <a:lumOff val="70000"/>
                  </a:schemeClr>
                </a:gs>
              </a:gsLst>
              <a:lin ang="5400000" scaled="1"/>
            </a:gradFill>
            <a:effectLst>
              <a:glow rad="139700">
                <a:schemeClr val="accent4">
                  <a:satMod val="175000"/>
                  <a:alpha val="40000"/>
                </a:schemeClr>
              </a:glow>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53125</xdr:colOff>
      <xdr:row>0</xdr:row>
      <xdr:rowOff>129540</xdr:rowOff>
    </xdr:from>
    <xdr:to>
      <xdr:col>2</xdr:col>
      <xdr:colOff>22645</xdr:colOff>
      <xdr:row>2</xdr:row>
      <xdr:rowOff>83820</xdr:rowOff>
    </xdr:to>
    <xdr:sp macro="" textlink="">
      <xdr:nvSpPr>
        <xdr:cNvPr id="28" name="TextBox 27">
          <a:extLst>
            <a:ext uri="{FF2B5EF4-FFF2-40B4-BE49-F238E27FC236}">
              <a16:creationId xmlns:a16="http://schemas.microsoft.com/office/drawing/2014/main" id="{0C870E46-413C-1F37-8382-ED9D37590A17}"/>
            </a:ext>
          </a:extLst>
        </xdr:cNvPr>
        <xdr:cNvSpPr txBox="1"/>
      </xdr:nvSpPr>
      <xdr:spPr>
        <a:xfrm>
          <a:off x="53125" y="129540"/>
          <a:ext cx="1372715" cy="32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 Total Orders</a:t>
          </a:r>
        </a:p>
      </xdr:txBody>
    </xdr:sp>
    <xdr:clientData/>
  </xdr:twoCellAnchor>
  <xdr:twoCellAnchor>
    <xdr:from>
      <xdr:col>0</xdr:col>
      <xdr:colOff>53124</xdr:colOff>
      <xdr:row>18</xdr:row>
      <xdr:rowOff>145122</xdr:rowOff>
    </xdr:from>
    <xdr:to>
      <xdr:col>3</xdr:col>
      <xdr:colOff>35169</xdr:colOff>
      <xdr:row>20</xdr:row>
      <xdr:rowOff>97799</xdr:rowOff>
    </xdr:to>
    <xdr:sp macro="" textlink="">
      <xdr:nvSpPr>
        <xdr:cNvPr id="30" name="TextBox 29">
          <a:extLst>
            <a:ext uri="{FF2B5EF4-FFF2-40B4-BE49-F238E27FC236}">
              <a16:creationId xmlns:a16="http://schemas.microsoft.com/office/drawing/2014/main" id="{33CC3A22-486B-44E1-B3EA-35AB6F737ADE}"/>
            </a:ext>
          </a:extLst>
        </xdr:cNvPr>
        <xdr:cNvSpPr txBox="1"/>
      </xdr:nvSpPr>
      <xdr:spPr>
        <a:xfrm>
          <a:off x="53124" y="3415860"/>
          <a:ext cx="1834291" cy="316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 Avg Days to deliver</a:t>
          </a:r>
        </a:p>
        <a:p>
          <a:pPr marL="0" marR="0" lvl="0" indent="0" defTabSz="914400" eaLnBrk="1" fontAlgn="auto" latinLnBrk="0" hangingPunct="1">
            <a:lnSpc>
              <a:spcPct val="100000"/>
            </a:lnSpc>
            <a:spcBef>
              <a:spcPts val="0"/>
            </a:spcBef>
            <a:spcAft>
              <a:spcPts val="0"/>
            </a:spcAft>
            <a:buClrTx/>
            <a:buSzTx/>
            <a:buFontTx/>
            <a:buNone/>
            <a:tabLst/>
            <a:defRPr/>
          </a:pPr>
          <a:endParaRPr lang="en-IN" sz="1400" b="1">
            <a:solidFill>
              <a:schemeClr val="dk1"/>
            </a:solidFill>
            <a:effectLst/>
            <a:latin typeface="+mn-lt"/>
            <a:ea typeface="+mn-ea"/>
            <a:cs typeface="+mn-cs"/>
          </a:endParaRPr>
        </a:p>
      </xdr:txBody>
    </xdr:sp>
    <xdr:clientData/>
  </xdr:twoCellAnchor>
  <xdr:twoCellAnchor>
    <xdr:from>
      <xdr:col>0</xdr:col>
      <xdr:colOff>53124</xdr:colOff>
      <xdr:row>5</xdr:row>
      <xdr:rowOff>41252</xdr:rowOff>
    </xdr:from>
    <xdr:to>
      <xdr:col>2</xdr:col>
      <xdr:colOff>236837</xdr:colOff>
      <xdr:row>6</xdr:row>
      <xdr:rowOff>144162</xdr:rowOff>
    </xdr:to>
    <xdr:sp macro="" textlink="">
      <xdr:nvSpPr>
        <xdr:cNvPr id="31" name="TextBox 30">
          <a:extLst>
            <a:ext uri="{FF2B5EF4-FFF2-40B4-BE49-F238E27FC236}">
              <a16:creationId xmlns:a16="http://schemas.microsoft.com/office/drawing/2014/main" id="{246F61E5-53D0-B946-A0C5-48FA0F2DE593}"/>
            </a:ext>
          </a:extLst>
        </xdr:cNvPr>
        <xdr:cNvSpPr txBox="1"/>
      </xdr:nvSpPr>
      <xdr:spPr>
        <a:xfrm>
          <a:off x="53124" y="968009"/>
          <a:ext cx="1584145" cy="288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 Total Quantity</a:t>
          </a:r>
        </a:p>
      </xdr:txBody>
    </xdr:sp>
    <xdr:clientData/>
  </xdr:twoCellAnchor>
  <xdr:twoCellAnchor>
    <xdr:from>
      <xdr:col>0</xdr:col>
      <xdr:colOff>53125</xdr:colOff>
      <xdr:row>9</xdr:row>
      <xdr:rowOff>137213</xdr:rowOff>
    </xdr:from>
    <xdr:to>
      <xdr:col>2</xdr:col>
      <xdr:colOff>22645</xdr:colOff>
      <xdr:row>11</xdr:row>
      <xdr:rowOff>90124</xdr:rowOff>
    </xdr:to>
    <xdr:sp macro="" textlink="">
      <xdr:nvSpPr>
        <xdr:cNvPr id="32" name="TextBox 31">
          <a:extLst>
            <a:ext uri="{FF2B5EF4-FFF2-40B4-BE49-F238E27FC236}">
              <a16:creationId xmlns:a16="http://schemas.microsoft.com/office/drawing/2014/main" id="{F051BF7E-B3E0-99CB-9753-FA57AB8794BD}"/>
            </a:ext>
          </a:extLst>
        </xdr:cNvPr>
        <xdr:cNvSpPr txBox="1"/>
      </xdr:nvSpPr>
      <xdr:spPr>
        <a:xfrm>
          <a:off x="53125" y="1809896"/>
          <a:ext cx="1372715" cy="32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 💰 Amount </a:t>
          </a:r>
        </a:p>
      </xdr:txBody>
    </xdr:sp>
    <xdr:clientData/>
  </xdr:twoCellAnchor>
  <xdr:twoCellAnchor>
    <xdr:from>
      <xdr:col>0</xdr:col>
      <xdr:colOff>53125</xdr:colOff>
      <xdr:row>14</xdr:row>
      <xdr:rowOff>47556</xdr:rowOff>
    </xdr:from>
    <xdr:to>
      <xdr:col>2</xdr:col>
      <xdr:colOff>22645</xdr:colOff>
      <xdr:row>16</xdr:row>
      <xdr:rowOff>1835</xdr:rowOff>
    </xdr:to>
    <xdr:sp macro="" textlink="">
      <xdr:nvSpPr>
        <xdr:cNvPr id="33" name="TextBox 32">
          <a:extLst>
            <a:ext uri="{FF2B5EF4-FFF2-40B4-BE49-F238E27FC236}">
              <a16:creationId xmlns:a16="http://schemas.microsoft.com/office/drawing/2014/main" id="{6F959DFF-F399-04CC-83FB-0FE8DF813C33}"/>
            </a:ext>
          </a:extLst>
        </xdr:cNvPr>
        <xdr:cNvSpPr txBox="1"/>
      </xdr:nvSpPr>
      <xdr:spPr>
        <a:xfrm>
          <a:off x="53125" y="2649507"/>
          <a:ext cx="1372715" cy="32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 Avg Rating</a:t>
          </a:r>
        </a:p>
      </xdr:txBody>
    </xdr:sp>
    <xdr:clientData/>
  </xdr:twoCellAnchor>
  <xdr:twoCellAnchor>
    <xdr:from>
      <xdr:col>3</xdr:col>
      <xdr:colOff>189022</xdr:colOff>
      <xdr:row>0</xdr:row>
      <xdr:rowOff>148147</xdr:rowOff>
    </xdr:from>
    <xdr:to>
      <xdr:col>10</xdr:col>
      <xdr:colOff>31351</xdr:colOff>
      <xdr:row>13</xdr:row>
      <xdr:rowOff>147674</xdr:rowOff>
    </xdr:to>
    <xdr:graphicFrame macro="">
      <xdr:nvGraphicFramePr>
        <xdr:cNvPr id="36" name="Chart 35">
          <a:extLst>
            <a:ext uri="{FF2B5EF4-FFF2-40B4-BE49-F238E27FC236}">
              <a16:creationId xmlns:a16="http://schemas.microsoft.com/office/drawing/2014/main" id="{D1566827-8D94-4F1C-9B77-26EC32A1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206745</xdr:colOff>
      <xdr:row>0</xdr:row>
      <xdr:rowOff>163975</xdr:rowOff>
    </xdr:from>
    <xdr:to>
      <xdr:col>20</xdr:col>
      <xdr:colOff>78155</xdr:colOff>
      <xdr:row>13</xdr:row>
      <xdr:rowOff>177209</xdr:rowOff>
    </xdr:to>
    <xdr:sp macro="" textlink="">
      <xdr:nvSpPr>
        <xdr:cNvPr id="45" name="Rectangle 44">
          <a:extLst>
            <a:ext uri="{FF2B5EF4-FFF2-40B4-BE49-F238E27FC236}">
              <a16:creationId xmlns:a16="http://schemas.microsoft.com/office/drawing/2014/main" id="{160CEFDC-EBC8-0285-6B8A-EF7046F912D9}"/>
            </a:ext>
          </a:extLst>
        </xdr:cNvPr>
        <xdr:cNvSpPr/>
      </xdr:nvSpPr>
      <xdr:spPr>
        <a:xfrm>
          <a:off x="6313042" y="163975"/>
          <a:ext cx="5946816" cy="242280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11</xdr:col>
      <xdr:colOff>177739</xdr:colOff>
      <xdr:row>1</xdr:row>
      <xdr:rowOff>119502</xdr:rowOff>
    </xdr:from>
    <xdr:to>
      <xdr:col>19</xdr:col>
      <xdr:colOff>156882</xdr:colOff>
      <xdr:row>13</xdr:row>
      <xdr:rowOff>61266</xdr:rowOff>
    </xdr:to>
    <mc:AlternateContent xmlns:mc="http://schemas.openxmlformats.org/markup-compatibility/2006">
      <mc:Choice xmlns:a14="http://schemas.microsoft.com/office/drawing/2010/main" Requires="a14">
        <xdr:pic>
          <xdr:nvPicPr>
            <xdr:cNvPr id="44" name="Picture 43">
              <a:extLst>
                <a:ext uri="{FF2B5EF4-FFF2-40B4-BE49-F238E27FC236}">
                  <a16:creationId xmlns:a16="http://schemas.microsoft.com/office/drawing/2014/main" id="{2048D5D2-56C7-FD24-57A3-4C805417A738}"/>
                </a:ext>
              </a:extLst>
            </xdr:cNvPr>
            <xdr:cNvPicPr>
              <a:picLocks noChangeAspect="1" noChangeArrowheads="1"/>
              <a:extLst>
                <a:ext uri="{84589F7E-364E-4C9E-8A38-B11213B215E9}">
                  <a14:cameraTool cellRange="Pivots!$T$3:$X$8" spid="_x0000_s6176"/>
                </a:ext>
              </a:extLst>
            </xdr:cNvPicPr>
          </xdr:nvPicPr>
          <xdr:blipFill>
            <a:blip xmlns:r="http://schemas.openxmlformats.org/officeDocument/2006/relationships" r:embed="rId2"/>
            <a:stretch>
              <a:fillRect/>
            </a:stretch>
          </xdr:blipFill>
          <xdr:spPr bwMode="auto">
            <a:xfrm>
              <a:off x="6867651" y="298796"/>
              <a:ext cx="4820084" cy="2093294"/>
            </a:xfrm>
            <a:prstGeom prst="rect">
              <a:avLst/>
            </a:prstGeom>
            <a:extLst>
              <a:ext uri="{909E8E84-426E-40DD-AFC4-6F175D3DCCD1}">
                <a14:hiddenFill>
                  <a:solidFill>
                    <a:srgbClr val="FFFFFF"/>
                  </a:solidFill>
                </a14:hiddenFill>
              </a:ext>
            </a:extLst>
          </xdr:spPr>
        </xdr:pic>
      </mc:Choice>
      <mc:Fallback/>
    </mc:AlternateContent>
    <xdr:clientData/>
  </xdr:twoCellAnchor>
  <xdr:twoCellAnchor>
    <xdr:from>
      <xdr:col>20</xdr:col>
      <xdr:colOff>312090</xdr:colOff>
      <xdr:row>0</xdr:row>
      <xdr:rowOff>167863</xdr:rowOff>
    </xdr:from>
    <xdr:to>
      <xdr:col>27</xdr:col>
      <xdr:colOff>440688</xdr:colOff>
      <xdr:row>13</xdr:row>
      <xdr:rowOff>174679</xdr:rowOff>
    </xdr:to>
    <xdr:graphicFrame macro="">
      <xdr:nvGraphicFramePr>
        <xdr:cNvPr id="46" name="Chart 45">
          <a:extLst>
            <a:ext uri="{FF2B5EF4-FFF2-40B4-BE49-F238E27FC236}">
              <a16:creationId xmlns:a16="http://schemas.microsoft.com/office/drawing/2014/main" id="{A692B3BC-1378-47DF-92B6-3D906E611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212652</xdr:colOff>
      <xdr:row>15</xdr:row>
      <xdr:rowOff>129955</xdr:rowOff>
    </xdr:from>
    <xdr:to>
      <xdr:col>20</xdr:col>
      <xdr:colOff>81890</xdr:colOff>
      <xdr:row>43</xdr:row>
      <xdr:rowOff>10741</xdr:rowOff>
    </xdr:to>
    <xdr:graphicFrame macro="">
      <xdr:nvGraphicFramePr>
        <xdr:cNvPr id="47" name="Chart 46">
          <a:extLst>
            <a:ext uri="{FF2B5EF4-FFF2-40B4-BE49-F238E27FC236}">
              <a16:creationId xmlns:a16="http://schemas.microsoft.com/office/drawing/2014/main" id="{43018DE8-E3D3-4692-B9D9-73BFD0FD3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562429</xdr:colOff>
      <xdr:row>30</xdr:row>
      <xdr:rowOff>3057</xdr:rowOff>
    </xdr:from>
    <xdr:to>
      <xdr:col>18</xdr:col>
      <xdr:colOff>27213</xdr:colOff>
      <xdr:row>40</xdr:row>
      <xdr:rowOff>90715</xdr:rowOff>
    </xdr:to>
    <xdr:graphicFrame macro="">
      <xdr:nvGraphicFramePr>
        <xdr:cNvPr id="48" name="Chart 47">
          <a:extLst>
            <a:ext uri="{FF2B5EF4-FFF2-40B4-BE49-F238E27FC236}">
              <a16:creationId xmlns:a16="http://schemas.microsoft.com/office/drawing/2014/main" id="{2D778328-4D93-472D-914F-62C24B73C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180738</xdr:colOff>
      <xdr:row>15</xdr:row>
      <xdr:rowOff>121719</xdr:rowOff>
    </xdr:from>
    <xdr:to>
      <xdr:col>10</xdr:col>
      <xdr:colOff>11277</xdr:colOff>
      <xdr:row>43</xdr:row>
      <xdr:rowOff>1034</xdr:rowOff>
    </xdr:to>
    <mc:AlternateContent xmlns:mc="http://schemas.openxmlformats.org/markup-compatibility/2006">
      <mc:Choice xmlns:cx4="http://schemas.microsoft.com/office/drawing/2016/5/10/chartex" Requires="cx4">
        <xdr:graphicFrame macro="">
          <xdr:nvGraphicFramePr>
            <xdr:cNvPr id="54" name="Chart 53">
              <a:extLst>
                <a:ext uri="{FF2B5EF4-FFF2-40B4-BE49-F238E27FC236}">
                  <a16:creationId xmlns:a16="http://schemas.microsoft.com/office/drawing/2014/main" id="{0983F58D-4F05-45AF-8A70-BE98229942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035529" y="2868463"/>
              <a:ext cx="4089469" cy="50065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159832</xdr:colOff>
      <xdr:row>20</xdr:row>
      <xdr:rowOff>137840</xdr:rowOff>
    </xdr:from>
    <xdr:to>
      <xdr:col>9</xdr:col>
      <xdr:colOff>518672</xdr:colOff>
      <xdr:row>33</xdr:row>
      <xdr:rowOff>112803</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8C55AF9B-7A35-4E13-893B-F19BC9E253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439347" y="3832385"/>
              <a:ext cx="1574961" cy="23764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300398</xdr:colOff>
      <xdr:row>15</xdr:row>
      <xdr:rowOff>143651</xdr:rowOff>
    </xdr:from>
    <xdr:to>
      <xdr:col>27</xdr:col>
      <xdr:colOff>466652</xdr:colOff>
      <xdr:row>28</xdr:row>
      <xdr:rowOff>147674</xdr:rowOff>
    </xdr:to>
    <xdr:graphicFrame macro="">
      <xdr:nvGraphicFramePr>
        <xdr:cNvPr id="56" name="Chart 55">
          <a:extLst>
            <a:ext uri="{FF2B5EF4-FFF2-40B4-BE49-F238E27FC236}">
              <a16:creationId xmlns:a16="http://schemas.microsoft.com/office/drawing/2014/main" id="{FC60C0DA-5543-4B31-9199-E550DED7E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297494</xdr:colOff>
      <xdr:row>29</xdr:row>
      <xdr:rowOff>153581</xdr:rowOff>
    </xdr:from>
    <xdr:to>
      <xdr:col>27</xdr:col>
      <xdr:colOff>478466</xdr:colOff>
      <xdr:row>43</xdr:row>
      <xdr:rowOff>5906</xdr:rowOff>
    </xdr:to>
    <xdr:graphicFrame macro="">
      <xdr:nvGraphicFramePr>
        <xdr:cNvPr id="57" name="Chart 56">
          <a:extLst>
            <a:ext uri="{FF2B5EF4-FFF2-40B4-BE49-F238E27FC236}">
              <a16:creationId xmlns:a16="http://schemas.microsoft.com/office/drawing/2014/main" id="{CD39842D-D3FB-4073-A7EB-EB19B995C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119165</xdr:colOff>
      <xdr:row>23</xdr:row>
      <xdr:rowOff>137740</xdr:rowOff>
    </xdr:from>
    <xdr:to>
      <xdr:col>2</xdr:col>
      <xdr:colOff>325244</xdr:colOff>
      <xdr:row>33</xdr:row>
      <xdr:rowOff>97282</xdr:rowOff>
    </xdr:to>
    <mc:AlternateContent xmlns:mc="http://schemas.openxmlformats.org/markup-compatibility/2006">
      <mc:Choice xmlns:a14="http://schemas.microsoft.com/office/drawing/2010/main" Requires="a14">
        <xdr:graphicFrame macro="">
          <xdr:nvGraphicFramePr>
            <xdr:cNvPr id="58" name="Order Mode">
              <a:extLst>
                <a:ext uri="{FF2B5EF4-FFF2-40B4-BE49-F238E27FC236}">
                  <a16:creationId xmlns:a16="http://schemas.microsoft.com/office/drawing/2014/main" id="{6ECAB076-B396-4677-A093-3DFE0DBC3FBC}"/>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19165" y="4406894"/>
              <a:ext cx="1612848" cy="1815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111989</xdr:colOff>
      <xdr:row>34</xdr:row>
      <xdr:rowOff>76297</xdr:rowOff>
    </xdr:from>
    <xdr:to>
      <xdr:col>2</xdr:col>
      <xdr:colOff>316428</xdr:colOff>
      <xdr:row>42</xdr:row>
      <xdr:rowOff>149990</xdr:rowOff>
    </xdr:to>
    <mc:AlternateContent xmlns:mc="http://schemas.openxmlformats.org/markup-compatibility/2006">
      <mc:Choice xmlns:a14="http://schemas.microsoft.com/office/drawing/2010/main" Requires="a14">
        <xdr:graphicFrame macro="">
          <xdr:nvGraphicFramePr>
            <xdr:cNvPr id="60" name="Gender Value 1">
              <a:extLst>
                <a:ext uri="{FF2B5EF4-FFF2-40B4-BE49-F238E27FC236}">
                  <a16:creationId xmlns:a16="http://schemas.microsoft.com/office/drawing/2014/main" id="{4482B2D9-648D-FBB0-3BA1-DA32206A214B}"/>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111989" y="6387220"/>
              <a:ext cx="1611208" cy="1558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r Shedge" refreshedDate="46015.360607523151" createdVersion="8" refreshedVersion="8" minRefreshableVersion="3" recordCount="2400" xr:uid="{5DA34E29-0656-4EAF-BADB-E41636B41CB3}">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619975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DEDD5D-42CB-4EE9-8830-857F2E68AB39}" name="pvtSummar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CACD6-8A3E-4021-A424-29C38F73FF0E}" name="pvtTrend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9:C23" firstHeaderRow="0"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6"/>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CBF6A0-E63D-4979-BBCD-5CF32FCAC7FB}" name="pvtRating"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154:G159"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64" format="10" series="1">
      <pivotArea type="data" outline="0" fieldPosition="0">
        <references count="2">
          <reference field="4294967294" count="1" selected="0">
            <x v="0"/>
          </reference>
          <reference field="9" count="1" selected="0">
            <x v="0"/>
          </reference>
        </references>
      </pivotArea>
    </chartFormat>
    <chartFormat chart="64" format="11" series="1">
      <pivotArea type="data" outline="0" fieldPosition="0">
        <references count="2">
          <reference field="4294967294" count="1" selected="0">
            <x v="0"/>
          </reference>
          <reference field="9" count="1" selected="0">
            <x v="1"/>
          </reference>
        </references>
      </pivotArea>
    </chartFormat>
    <chartFormat chart="64" format="12" series="1">
      <pivotArea type="data" outline="0" fieldPosition="0">
        <references count="2">
          <reference field="4294967294" count="1" selected="0">
            <x v="0"/>
          </reference>
          <reference field="9" count="1" selected="0">
            <x v="2"/>
          </reference>
        </references>
      </pivotArea>
    </chartFormat>
    <chartFormat chart="64" format="13" series="1">
      <pivotArea type="data" outline="0" fieldPosition="0">
        <references count="2">
          <reference field="4294967294" count="1" selected="0">
            <x v="0"/>
          </reference>
          <reference field="9" count="1" selected="0">
            <x v="3"/>
          </reference>
        </references>
      </pivotArea>
    </chartFormat>
    <chartFormat chart="64"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0310C2-62AF-4BF3-A4CF-972071F728FD}" name="pvtDuration"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134:B150"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414543-DCAA-408D-9707-02A254F35EFB}" name="pvtMap"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1">
  <location ref="A69:D127"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4">
    <chartFormat chart="24" format="1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70E68E-474C-4D95-96EA-48D8FCAC2DCC}" name="pvtGenderQt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J41:K46"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4" format="1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4" format="13" series="1">
      <pivotArea type="data" outline="0" fieldPosition="0">
        <references count="2">
          <reference field="4294967294" count="1" selected="0">
            <x v="0"/>
          </reference>
          <reference field="14" count="1" selected="0">
            <x v="1"/>
          </reference>
        </references>
      </pivotArea>
    </chartFormat>
    <chartFormat chart="24" format="14" series="1">
      <pivotArea type="data" outline="0" fieldPosition="0">
        <references count="2">
          <reference field="4294967294" count="1" selected="0">
            <x v="0"/>
          </reference>
          <reference field="14" count="1" selected="0">
            <x v="2"/>
          </reference>
        </references>
      </pivotArea>
    </chartFormat>
    <chartFormat chart="24" format="15" series="1">
      <pivotArea type="data" outline="0" fieldPosition="0">
        <references count="2">
          <reference field="4294967294" count="1" selected="0">
            <x v="0"/>
          </reference>
          <reference field="14" count="1" selected="0">
            <x v="3"/>
          </reference>
        </references>
      </pivotArea>
    </chartFormat>
    <chartFormat chart="21" format="5" series="1">
      <pivotArea type="data" outline="0" fieldPosition="0">
        <references count="2">
          <reference field="4294967294" count="1" selected="0">
            <x v="0"/>
          </reference>
          <reference field="14" count="1" selected="0">
            <x v="1"/>
          </reference>
        </references>
      </pivotArea>
    </chartFormat>
    <chartFormat chart="21" format="6" series="1">
      <pivotArea type="data" outline="0" fieldPosition="0">
        <references count="2">
          <reference field="4294967294" count="1" selected="0">
            <x v="0"/>
          </reference>
          <reference field="14" count="1" selected="0">
            <x v="2"/>
          </reference>
        </references>
      </pivotArea>
    </chartFormat>
    <chartFormat chart="21" format="7" series="1">
      <pivotArea type="data" outline="0" fieldPosition="0">
        <references count="2">
          <reference field="4294967294" count="1" selected="0">
            <x v="0"/>
          </reference>
          <reference field="14" count="1" selected="0">
            <x v="3"/>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14" count="1" selected="0">
            <x v="0"/>
          </reference>
        </references>
      </pivotArea>
    </chartFormat>
    <chartFormat chart="38" format="8">
      <pivotArea type="data" outline="0" fieldPosition="0">
        <references count="2">
          <reference field="4294967294" count="1" selected="0">
            <x v="0"/>
          </reference>
          <reference field="14" count="1" selected="0">
            <x v="1"/>
          </reference>
        </references>
      </pivotArea>
    </chartFormat>
    <chartFormat chart="38" format="9">
      <pivotArea type="data" outline="0" fieldPosition="0">
        <references count="2">
          <reference field="4294967294" count="1" selected="0">
            <x v="0"/>
          </reference>
          <reference field="14" count="1" selected="0">
            <x v="2"/>
          </reference>
        </references>
      </pivotArea>
    </chartFormat>
    <chartFormat chart="3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63A33C-0767-420E-A060-D999EA325EBA}" name="pvtProduct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41:F6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24" format="12" series="1">
      <pivotArea type="data" outline="0" fieldPosition="0">
        <references count="1">
          <reference field="4294967294" count="1" selected="0">
            <x v="0"/>
          </reference>
        </references>
      </pivotArea>
    </chartFormat>
    <chartFormat chart="24" format="13" series="1">
      <pivotArea type="data" outline="0" fieldPosition="0">
        <references count="2">
          <reference field="4294967294" count="1" selected="0">
            <x v="0"/>
          </reference>
          <reference field="14" count="1" selected="0">
            <x v="1"/>
          </reference>
        </references>
      </pivotArea>
    </chartFormat>
    <chartFormat chart="24" format="14" series="1">
      <pivotArea type="data" outline="0" fieldPosition="0">
        <references count="2">
          <reference field="4294967294" count="1" selected="0">
            <x v="0"/>
          </reference>
          <reference field="14" count="1" selected="0">
            <x v="2"/>
          </reference>
        </references>
      </pivotArea>
    </chartFormat>
    <chartFormat chart="24"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AEE602-97BB-4D1B-853E-E388F58DA74A}" name="pvtQuantity"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7:B35"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2ADE19-2E6F-460D-A254-671D3EEBA134}" name="pvtMatrix"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Q8" firstHeaderRow="1" firstDataRow="2"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60058ED-4C6F-42BC-9855-8E85B6E03F84}" sourceName="Order Mode">
  <pivotTables>
    <pivotTable tabId="8" name="pvtRating"/>
    <pivotTable tabId="8" name="pvtDuration"/>
    <pivotTable tabId="8" name="pvtGenderQty"/>
    <pivotTable tabId="8" name="pvtMap"/>
    <pivotTable tabId="8" name="pvtProducts"/>
    <pivotTable tabId="8" name="pvtQuantity"/>
    <pivotTable tabId="8" name="pvtSummary"/>
    <pivotTable tabId="8" name="pvtTrends"/>
  </pivotTables>
  <data>
    <tabular pivotCacheId="1619975140">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AA37F187-E74A-47DA-BBFA-FA740BB6577F}" sourceName="Gender Value">
  <pivotTables>
    <pivotTable tabId="8" name="pvtRating"/>
    <pivotTable tabId="8" name="pvtDuration"/>
    <pivotTable tabId="8" name="pvtMap"/>
    <pivotTable tabId="8" name="pvtQuantity"/>
    <pivotTable tabId="8" name="pvtSummary"/>
    <pivotTable tabId="8" name="pvtTrends"/>
  </pivotTables>
  <data>
    <tabular pivotCacheId="161997514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F8BA4421-A0B3-431E-93D8-689512438B5F}" cache="Slicer_Order_Mode" caption="Order Mode" rowHeight="247650"/>
  <slicer name="Gender Value 1" xr10:uid="{5416F7DD-86E1-4410-9AC3-7A5E17F7E357}"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2" sqref="B2"/>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6.44140625"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C12" sqref="C12"/>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F341-10DF-42E7-8A45-05D756E348D3}">
  <dimension ref="A1:Z159"/>
  <sheetViews>
    <sheetView topLeftCell="K1" zoomScale="151" zoomScaleNormal="68" workbookViewId="0">
      <selection activeCell="T13" sqref="T13"/>
    </sheetView>
  </sheetViews>
  <sheetFormatPr defaultRowHeight="14.4" x14ac:dyDescent="0.3"/>
  <cols>
    <col min="1" max="1" width="13.33203125" bestFit="1" customWidth="1"/>
    <col min="2" max="2" width="14.88671875" bestFit="1" customWidth="1"/>
    <col min="3" max="3" width="14.21875" bestFit="1" customWidth="1"/>
    <col min="4" max="4" width="17.88671875" bestFit="1" customWidth="1"/>
    <col min="5" max="5" width="23.77734375" bestFit="1" customWidth="1"/>
    <col min="6" max="6" width="5" bestFit="1" customWidth="1"/>
    <col min="7" max="7" width="10.6640625" bestFit="1" customWidth="1"/>
    <col min="9" max="9" width="10.44140625" bestFit="1" customWidth="1"/>
    <col min="10" max="10" width="13.21875" bestFit="1" customWidth="1"/>
    <col min="11" max="11" width="14.88671875" bestFit="1" customWidth="1"/>
    <col min="12" max="12" width="14" bestFit="1" customWidth="1"/>
    <col min="13" max="13" width="15.5546875" bestFit="1" customWidth="1"/>
    <col min="14" max="14" width="7.109375" bestFit="1" customWidth="1"/>
    <col min="15" max="15" width="6.109375" bestFit="1" customWidth="1"/>
    <col min="16" max="16" width="8.88671875" bestFit="1" customWidth="1"/>
    <col min="17" max="17" width="10.6640625" bestFit="1" customWidth="1"/>
    <col min="20" max="20" width="10.109375" customWidth="1"/>
    <col min="21" max="21" width="7.33203125" bestFit="1" customWidth="1"/>
    <col min="22" max="22" width="6.77734375" bestFit="1" customWidth="1"/>
    <col min="23" max="23" width="6" bestFit="1" customWidth="1"/>
    <col min="24" max="24" width="9.33203125" bestFit="1" customWidth="1"/>
  </cols>
  <sheetData>
    <row r="1" spans="1:24" x14ac:dyDescent="0.3">
      <c r="L1" s="12" t="s">
        <v>2546</v>
      </c>
      <c r="M1" s="12" t="s">
        <v>2544</v>
      </c>
    </row>
    <row r="2" spans="1:24" ht="15" thickBot="1" x14ac:dyDescent="0.35">
      <c r="A2" s="20" t="s">
        <v>2566</v>
      </c>
      <c r="G2" t="s">
        <v>2549</v>
      </c>
      <c r="L2" s="12" t="s">
        <v>2542</v>
      </c>
      <c r="M2" t="s">
        <v>2553</v>
      </c>
      <c r="N2" t="s">
        <v>2554</v>
      </c>
      <c r="O2" t="s">
        <v>2555</v>
      </c>
      <c r="P2" t="s">
        <v>2556</v>
      </c>
      <c r="Q2" t="s">
        <v>2543</v>
      </c>
      <c r="T2" s="13" t="s">
        <v>2557</v>
      </c>
    </row>
    <row r="3" spans="1:24" ht="15" thickBot="1" x14ac:dyDescent="0.35">
      <c r="A3" t="s">
        <v>2545</v>
      </c>
      <c r="B3" t="s">
        <v>2541</v>
      </c>
      <c r="C3" t="s">
        <v>2546</v>
      </c>
      <c r="D3" t="s">
        <v>2548</v>
      </c>
      <c r="E3" t="s">
        <v>2547</v>
      </c>
      <c r="G3" t="s">
        <v>2532</v>
      </c>
      <c r="H3" t="s">
        <v>2550</v>
      </c>
      <c r="I3" t="s">
        <v>4</v>
      </c>
      <c r="J3" t="s">
        <v>2507</v>
      </c>
      <c r="K3" t="s">
        <v>2551</v>
      </c>
      <c r="L3" s="13" t="s">
        <v>18</v>
      </c>
      <c r="M3" s="15">
        <v>0.18961825201634841</v>
      </c>
      <c r="N3" s="15">
        <v>0.12262322351336576</v>
      </c>
      <c r="O3" s="15">
        <v>1.060537752469185E-2</v>
      </c>
      <c r="P3" s="15">
        <v>3.0599220547662797E-2</v>
      </c>
      <c r="Q3" s="15">
        <v>0.35344607360206881</v>
      </c>
      <c r="T3" s="19"/>
      <c r="U3" s="17"/>
      <c r="V3" s="17"/>
      <c r="W3" s="17"/>
      <c r="X3" s="17"/>
    </row>
    <row r="4" spans="1:24" ht="15" thickBot="1" x14ac:dyDescent="0.35">
      <c r="A4" s="11">
        <v>2400</v>
      </c>
      <c r="B4" s="11">
        <v>11997</v>
      </c>
      <c r="C4" s="11">
        <v>649019.80000000144</v>
      </c>
      <c r="D4" s="11">
        <v>3.9620833333333332</v>
      </c>
      <c r="E4" s="11">
        <v>2.3424999999999998</v>
      </c>
      <c r="G4" t="str">
        <f>TEXT(A4,"#,##")</f>
        <v>2,400</v>
      </c>
      <c r="H4" t="str">
        <f>TEXT(B4,"#,##")</f>
        <v>11,997</v>
      </c>
      <c r="I4" t="str">
        <f>TEXT(C4,"$#,##,.0k")</f>
        <v>$649.0k</v>
      </c>
      <c r="J4" t="str">
        <f>TEXT(D4,"0.0")</f>
        <v>4.0</v>
      </c>
      <c r="K4" t="str">
        <f>TEXT(E4,"0.0")</f>
        <v>2.3</v>
      </c>
      <c r="L4" s="13" t="s">
        <v>51</v>
      </c>
      <c r="M4" s="15">
        <v>5.0283982091147303E-2</v>
      </c>
      <c r="N4" s="15">
        <v>4.3060781812819873E-2</v>
      </c>
      <c r="O4" s="15">
        <v>1.5320025675641944E-3</v>
      </c>
      <c r="P4" s="15">
        <v>1.7794988689097006E-2</v>
      </c>
      <c r="Q4" s="15">
        <v>0.11267175516062837</v>
      </c>
      <c r="T4" s="21"/>
      <c r="U4" s="18">
        <f>M3</f>
        <v>0.18961825201634841</v>
      </c>
      <c r="V4" s="18">
        <f>N3</f>
        <v>0.12262322351336576</v>
      </c>
      <c r="W4" s="18">
        <f>O3</f>
        <v>1.060537752469185E-2</v>
      </c>
      <c r="X4" s="18">
        <f>P3</f>
        <v>3.0599220547662797E-2</v>
      </c>
    </row>
    <row r="5" spans="1:24" ht="15" thickBot="1" x14ac:dyDescent="0.35">
      <c r="L5" s="13" t="s">
        <v>70</v>
      </c>
      <c r="M5" s="15">
        <v>6.3496059750411282E-2</v>
      </c>
      <c r="N5" s="15">
        <v>4.6071629863988765E-2</v>
      </c>
      <c r="O5" s="15">
        <v>2.306247051322625E-3</v>
      </c>
      <c r="P5" s="15">
        <v>3.8927934093844286E-3</v>
      </c>
      <c r="Q5" s="15">
        <v>0.11576673007510711</v>
      </c>
      <c r="T5" s="21"/>
      <c r="U5" s="18">
        <f>M4</f>
        <v>5.0283982091147303E-2</v>
      </c>
      <c r="V5" s="18">
        <f>N4</f>
        <v>4.3060781812819873E-2</v>
      </c>
      <c r="W5" s="18">
        <f>O4</f>
        <v>1.5320025675641944E-3</v>
      </c>
      <c r="X5" s="18">
        <f>P4</f>
        <v>1.7794988689097006E-2</v>
      </c>
    </row>
    <row r="6" spans="1:24" ht="15" thickBot="1" x14ac:dyDescent="0.35">
      <c r="L6" s="13" t="s">
        <v>40</v>
      </c>
      <c r="M6" s="15">
        <v>9.6337892927149532E-2</v>
      </c>
      <c r="N6" s="15">
        <v>6.7920115842382611E-2</v>
      </c>
      <c r="O6" s="15">
        <v>5.4979832664581261E-3</v>
      </c>
      <c r="P6" s="15">
        <v>1.2933041488102518E-2</v>
      </c>
      <c r="Q6" s="15">
        <v>0.1826890335240928</v>
      </c>
      <c r="T6" s="21"/>
      <c r="U6" s="18">
        <f>M5</f>
        <v>6.3496059750411282E-2</v>
      </c>
      <c r="V6" s="18">
        <f>N5</f>
        <v>4.6071629863988765E-2</v>
      </c>
      <c r="W6" s="18">
        <f>O5</f>
        <v>2.306247051322625E-3</v>
      </c>
      <c r="X6" s="18">
        <f>P5</f>
        <v>3.8927934093844286E-3</v>
      </c>
    </row>
    <row r="7" spans="1:24" ht="15" thickBot="1" x14ac:dyDescent="0.35">
      <c r="L7" s="13" t="s">
        <v>35</v>
      </c>
      <c r="M7" s="15">
        <v>0.12522098709469262</v>
      </c>
      <c r="N7" s="15">
        <v>9.1492740283116228E-2</v>
      </c>
      <c r="O7" s="15">
        <v>6.3042760790965081E-3</v>
      </c>
      <c r="P7" s="15">
        <v>1.2408404181197551E-2</v>
      </c>
      <c r="Q7" s="15">
        <v>0.23542640763810288</v>
      </c>
      <c r="T7" s="21"/>
      <c r="U7" s="18">
        <f>M6</f>
        <v>9.6337892927149532E-2</v>
      </c>
      <c r="V7" s="18">
        <f>N6</f>
        <v>6.7920115842382611E-2</v>
      </c>
      <c r="W7" s="18">
        <f>O6</f>
        <v>5.4979832664581261E-3</v>
      </c>
      <c r="X7" s="18">
        <f>P6</f>
        <v>1.2933041488102518E-2</v>
      </c>
    </row>
    <row r="8" spans="1:24" ht="15" thickBot="1" x14ac:dyDescent="0.35">
      <c r="A8" s="20" t="s">
        <v>2552</v>
      </c>
      <c r="L8" s="13" t="s">
        <v>2543</v>
      </c>
      <c r="M8" s="15">
        <v>0.52495717387974916</v>
      </c>
      <c r="N8" s="15">
        <v>0.3711684913156732</v>
      </c>
      <c r="O8" s="15">
        <v>2.6245886489133303E-2</v>
      </c>
      <c r="P8" s="15">
        <v>7.7628448315444312E-2</v>
      </c>
      <c r="Q8" s="15">
        <v>1</v>
      </c>
      <c r="T8" s="21"/>
      <c r="U8" s="18">
        <f>M7</f>
        <v>0.12522098709469262</v>
      </c>
      <c r="V8" s="18">
        <f>N7</f>
        <v>9.1492740283116228E-2</v>
      </c>
      <c r="W8" s="18">
        <f>O7</f>
        <v>6.3042760790965081E-3</v>
      </c>
      <c r="X8" s="18">
        <f>P7</f>
        <v>1.2408404181197551E-2</v>
      </c>
    </row>
    <row r="9" spans="1:24" x14ac:dyDescent="0.3">
      <c r="A9" s="12" t="s">
        <v>2542</v>
      </c>
      <c r="B9" t="s">
        <v>2541</v>
      </c>
      <c r="C9" t="s">
        <v>2546</v>
      </c>
      <c r="L9" s="13"/>
      <c r="M9" s="15"/>
      <c r="N9" s="15"/>
      <c r="O9" s="15"/>
      <c r="P9" s="15"/>
      <c r="Q9" s="15"/>
    </row>
    <row r="10" spans="1:24" ht="15" thickBot="1" x14ac:dyDescent="0.35">
      <c r="A10" s="13">
        <v>1</v>
      </c>
      <c r="B10" s="11">
        <v>546</v>
      </c>
      <c r="C10" s="14">
        <v>32413.300000000003</v>
      </c>
      <c r="L10" s="13"/>
      <c r="M10" s="15"/>
      <c r="N10" s="15"/>
      <c r="O10" s="15"/>
      <c r="P10" s="15"/>
      <c r="Q10" s="15"/>
    </row>
    <row r="11" spans="1:24" ht="15" thickBot="1" x14ac:dyDescent="0.35">
      <c r="A11" s="13">
        <v>2</v>
      </c>
      <c r="B11" s="11">
        <v>905</v>
      </c>
      <c r="C11" s="14">
        <v>49562.999999999993</v>
      </c>
      <c r="U11" s="17"/>
      <c r="V11" s="17"/>
      <c r="W11" s="17"/>
      <c r="X11" s="17"/>
    </row>
    <row r="12" spans="1:24" ht="15" thickBot="1" x14ac:dyDescent="0.35">
      <c r="A12" s="13">
        <v>3</v>
      </c>
      <c r="B12" s="11">
        <v>796</v>
      </c>
      <c r="C12" s="14">
        <v>41700.400000000016</v>
      </c>
      <c r="U12" s="18"/>
      <c r="V12" s="18"/>
      <c r="W12" s="18"/>
      <c r="X12" s="18"/>
    </row>
    <row r="13" spans="1:24" ht="15" thickBot="1" x14ac:dyDescent="0.35">
      <c r="A13" s="13">
        <v>4</v>
      </c>
      <c r="B13" s="11">
        <v>913</v>
      </c>
      <c r="C13" s="14">
        <v>46782.599999999984</v>
      </c>
      <c r="U13" s="18"/>
      <c r="V13" s="18"/>
      <c r="W13" s="18"/>
      <c r="X13" s="18"/>
    </row>
    <row r="14" spans="1:24" ht="15" thickBot="1" x14ac:dyDescent="0.35">
      <c r="A14" s="13">
        <v>5</v>
      </c>
      <c r="B14" s="11">
        <v>844</v>
      </c>
      <c r="C14" s="14">
        <v>42676.100000000006</v>
      </c>
      <c r="U14" s="18"/>
      <c r="V14" s="18"/>
      <c r="W14" s="18"/>
      <c r="X14" s="18"/>
    </row>
    <row r="15" spans="1:24" ht="15" thickBot="1" x14ac:dyDescent="0.35">
      <c r="A15" s="13">
        <v>6</v>
      </c>
      <c r="B15" s="11">
        <v>1202</v>
      </c>
      <c r="C15" s="14">
        <v>62910.7</v>
      </c>
      <c r="U15" s="18"/>
      <c r="V15" s="18"/>
      <c r="W15" s="18"/>
      <c r="X15" s="18"/>
    </row>
    <row r="16" spans="1:24" ht="15" thickBot="1" x14ac:dyDescent="0.35">
      <c r="A16" s="13">
        <v>7</v>
      </c>
      <c r="B16" s="11">
        <v>935</v>
      </c>
      <c r="C16" s="14">
        <v>50332.200000000004</v>
      </c>
      <c r="U16" s="18"/>
      <c r="V16" s="18"/>
      <c r="W16" s="18"/>
      <c r="X16" s="18"/>
    </row>
    <row r="17" spans="1:26" ht="15" thickBot="1" x14ac:dyDescent="0.35">
      <c r="A17" s="13">
        <v>8</v>
      </c>
      <c r="B17" s="11">
        <v>1128</v>
      </c>
      <c r="C17" s="14">
        <v>58760.599999999977</v>
      </c>
      <c r="W17" s="17"/>
      <c r="X17" s="17"/>
      <c r="Y17" s="17"/>
      <c r="Z17" s="17"/>
    </row>
    <row r="18" spans="1:26" ht="15" thickBot="1" x14ac:dyDescent="0.35">
      <c r="A18" s="13">
        <v>9</v>
      </c>
      <c r="B18" s="11">
        <v>1007</v>
      </c>
      <c r="C18" s="14">
        <v>52017.299999999996</v>
      </c>
      <c r="V18" s="13"/>
      <c r="W18" s="18"/>
      <c r="X18" s="18"/>
      <c r="Y18" s="18"/>
      <c r="Z18" s="18"/>
    </row>
    <row r="19" spans="1:26" ht="15" thickBot="1" x14ac:dyDescent="0.35">
      <c r="A19" s="13">
        <v>10</v>
      </c>
      <c r="B19" s="11">
        <v>1128</v>
      </c>
      <c r="C19" s="14">
        <v>64915.700000000033</v>
      </c>
      <c r="M19" s="16"/>
      <c r="N19" s="16"/>
      <c r="O19" s="16"/>
      <c r="V19" s="13"/>
      <c r="W19" s="18"/>
      <c r="X19" s="18"/>
      <c r="Y19" s="18"/>
      <c r="Z19" s="18"/>
    </row>
    <row r="20" spans="1:26" ht="15" thickBot="1" x14ac:dyDescent="0.35">
      <c r="A20" s="13">
        <v>11</v>
      </c>
      <c r="B20" s="11">
        <v>861</v>
      </c>
      <c r="C20" s="14">
        <v>45943.80000000001</v>
      </c>
      <c r="M20" s="13"/>
      <c r="N20" s="13"/>
      <c r="O20" s="13"/>
      <c r="V20" s="13"/>
      <c r="W20" s="18"/>
      <c r="X20" s="18"/>
      <c r="Y20" s="18"/>
      <c r="Z20" s="18"/>
    </row>
    <row r="21" spans="1:26" ht="15" thickBot="1" x14ac:dyDescent="0.35">
      <c r="A21" s="13">
        <v>12</v>
      </c>
      <c r="B21" s="11">
        <v>944</v>
      </c>
      <c r="C21" s="14">
        <v>55077.900000000031</v>
      </c>
      <c r="V21" s="13"/>
      <c r="W21" s="18"/>
      <c r="X21" s="18"/>
      <c r="Y21" s="18"/>
      <c r="Z21" s="18"/>
    </row>
    <row r="22" spans="1:26" ht="15" thickBot="1" x14ac:dyDescent="0.35">
      <c r="A22" s="13">
        <v>13</v>
      </c>
      <c r="B22" s="11">
        <v>788</v>
      </c>
      <c r="C22" s="14">
        <v>45926.19999999999</v>
      </c>
      <c r="V22" s="13"/>
      <c r="W22" s="18"/>
      <c r="X22" s="18"/>
      <c r="Y22" s="18"/>
      <c r="Z22" s="18"/>
    </row>
    <row r="23" spans="1:26" x14ac:dyDescent="0.3">
      <c r="A23" s="13" t="s">
        <v>2543</v>
      </c>
      <c r="B23" s="11">
        <v>11997</v>
      </c>
      <c r="C23" s="14">
        <v>649019.79999999993</v>
      </c>
    </row>
    <row r="24" spans="1:26" x14ac:dyDescent="0.3">
      <c r="A24" s="13"/>
      <c r="B24" s="11"/>
      <c r="C24" s="14"/>
    </row>
    <row r="25" spans="1:26" x14ac:dyDescent="0.3">
      <c r="A25" s="13"/>
      <c r="B25" s="11"/>
      <c r="C25" s="14"/>
    </row>
    <row r="26" spans="1:26" x14ac:dyDescent="0.3">
      <c r="A26" s="13" t="s">
        <v>2567</v>
      </c>
      <c r="B26" s="11"/>
      <c r="C26" s="14"/>
    </row>
    <row r="27" spans="1:26" x14ac:dyDescent="0.3">
      <c r="A27" s="12" t="s">
        <v>2542</v>
      </c>
      <c r="B27" t="s">
        <v>2545</v>
      </c>
    </row>
    <row r="28" spans="1:26" x14ac:dyDescent="0.3">
      <c r="A28" s="13">
        <v>1</v>
      </c>
      <c r="B28" s="11">
        <v>397</v>
      </c>
    </row>
    <row r="29" spans="1:26" x14ac:dyDescent="0.3">
      <c r="A29" s="13">
        <v>2</v>
      </c>
      <c r="B29" s="11">
        <v>540</v>
      </c>
    </row>
    <row r="30" spans="1:26" x14ac:dyDescent="0.3">
      <c r="A30" s="13">
        <v>3</v>
      </c>
      <c r="B30" s="11">
        <v>375</v>
      </c>
    </row>
    <row r="31" spans="1:26" x14ac:dyDescent="0.3">
      <c r="A31" s="13">
        <v>4</v>
      </c>
      <c r="B31" s="11">
        <v>246</v>
      </c>
    </row>
    <row r="32" spans="1:26" x14ac:dyDescent="0.3">
      <c r="A32" s="13">
        <v>5</v>
      </c>
      <c r="B32" s="11">
        <v>195</v>
      </c>
    </row>
    <row r="33" spans="1:11" x14ac:dyDescent="0.3">
      <c r="A33" s="13" t="s">
        <v>2558</v>
      </c>
      <c r="B33" s="11">
        <v>414</v>
      </c>
    </row>
    <row r="34" spans="1:11" x14ac:dyDescent="0.3">
      <c r="A34" s="13" t="s">
        <v>2559</v>
      </c>
      <c r="B34" s="11">
        <v>233</v>
      </c>
    </row>
    <row r="35" spans="1:11" x14ac:dyDescent="0.3">
      <c r="A35" s="13" t="s">
        <v>2543</v>
      </c>
      <c r="B35" s="11">
        <v>2400</v>
      </c>
    </row>
    <row r="41" spans="1:11" x14ac:dyDescent="0.3">
      <c r="A41" s="12" t="s">
        <v>2541</v>
      </c>
      <c r="B41" s="12" t="s">
        <v>2544</v>
      </c>
      <c r="J41" s="12" t="s">
        <v>2542</v>
      </c>
      <c r="K41" t="s">
        <v>2541</v>
      </c>
    </row>
    <row r="42" spans="1:11" x14ac:dyDescent="0.3">
      <c r="A42" s="12" t="s">
        <v>2542</v>
      </c>
      <c r="B42" t="s">
        <v>2553</v>
      </c>
      <c r="C42" t="s">
        <v>2554</v>
      </c>
      <c r="D42" t="s">
        <v>2555</v>
      </c>
      <c r="E42" t="s">
        <v>2556</v>
      </c>
      <c r="F42" t="s">
        <v>2543</v>
      </c>
      <c r="J42" s="13" t="s">
        <v>2553</v>
      </c>
      <c r="K42" s="11">
        <v>6272</v>
      </c>
    </row>
    <row r="43" spans="1:11" x14ac:dyDescent="0.3">
      <c r="A43" s="13" t="s">
        <v>44</v>
      </c>
      <c r="B43" s="11">
        <v>744</v>
      </c>
      <c r="C43" s="11">
        <v>713</v>
      </c>
      <c r="D43" s="11">
        <v>90</v>
      </c>
      <c r="E43" s="11">
        <v>98</v>
      </c>
      <c r="F43" s="11">
        <v>1645</v>
      </c>
      <c r="J43" s="13" t="s">
        <v>2554</v>
      </c>
      <c r="K43" s="11">
        <v>4672</v>
      </c>
    </row>
    <row r="44" spans="1:11" x14ac:dyDescent="0.3">
      <c r="A44" s="13" t="s">
        <v>39</v>
      </c>
      <c r="B44" s="11">
        <v>716</v>
      </c>
      <c r="C44" s="11">
        <v>598</v>
      </c>
      <c r="D44" s="11">
        <v>18</v>
      </c>
      <c r="E44" s="11">
        <v>214</v>
      </c>
      <c r="F44" s="11">
        <v>1546</v>
      </c>
      <c r="J44" s="13" t="s">
        <v>2555</v>
      </c>
      <c r="K44" s="11">
        <v>317</v>
      </c>
    </row>
    <row r="45" spans="1:11" x14ac:dyDescent="0.3">
      <c r="A45" s="13" t="s">
        <v>26</v>
      </c>
      <c r="B45" s="11">
        <v>627</v>
      </c>
      <c r="C45" s="11">
        <v>393</v>
      </c>
      <c r="D45" s="11">
        <v>29</v>
      </c>
      <c r="E45" s="11">
        <v>137</v>
      </c>
      <c r="F45" s="11">
        <v>1186</v>
      </c>
      <c r="J45" s="13" t="s">
        <v>2556</v>
      </c>
      <c r="K45" s="11">
        <v>736</v>
      </c>
    </row>
    <row r="46" spans="1:11" x14ac:dyDescent="0.3">
      <c r="A46" s="13" t="s">
        <v>22</v>
      </c>
      <c r="B46" s="11">
        <v>568</v>
      </c>
      <c r="C46" s="11">
        <v>306</v>
      </c>
      <c r="D46" s="11">
        <v>22</v>
      </c>
      <c r="E46" s="11">
        <v>16</v>
      </c>
      <c r="F46" s="11">
        <v>912</v>
      </c>
      <c r="J46" s="13" t="s">
        <v>2543</v>
      </c>
      <c r="K46" s="11">
        <v>11997</v>
      </c>
    </row>
    <row r="47" spans="1:11" x14ac:dyDescent="0.3">
      <c r="A47" s="13" t="s">
        <v>54</v>
      </c>
      <c r="B47" s="11">
        <v>482</v>
      </c>
      <c r="C47" s="11">
        <v>295</v>
      </c>
      <c r="D47" s="11">
        <v>8</v>
      </c>
      <c r="E47" s="11">
        <v>22</v>
      </c>
      <c r="F47" s="11">
        <v>807</v>
      </c>
    </row>
    <row r="48" spans="1:11" x14ac:dyDescent="0.3">
      <c r="A48" s="13" t="s">
        <v>16</v>
      </c>
      <c r="B48" s="11">
        <v>428</v>
      </c>
      <c r="C48" s="11">
        <v>293</v>
      </c>
      <c r="D48" s="11"/>
      <c r="E48" s="11">
        <v>24</v>
      </c>
      <c r="F48" s="11">
        <v>745</v>
      </c>
    </row>
    <row r="49" spans="1:6" x14ac:dyDescent="0.3">
      <c r="A49" s="13" t="s">
        <v>46</v>
      </c>
      <c r="B49" s="11">
        <v>445</v>
      </c>
      <c r="C49" s="11">
        <v>202</v>
      </c>
      <c r="D49" s="11">
        <v>14</v>
      </c>
      <c r="E49" s="11">
        <v>39</v>
      </c>
      <c r="F49" s="11">
        <v>700</v>
      </c>
    </row>
    <row r="50" spans="1:6" x14ac:dyDescent="0.3">
      <c r="A50" s="13" t="s">
        <v>32</v>
      </c>
      <c r="B50" s="11">
        <v>431</v>
      </c>
      <c r="C50" s="11">
        <v>187</v>
      </c>
      <c r="D50" s="11">
        <v>14</v>
      </c>
      <c r="E50" s="11">
        <v>15</v>
      </c>
      <c r="F50" s="11">
        <v>647</v>
      </c>
    </row>
    <row r="51" spans="1:6" x14ac:dyDescent="0.3">
      <c r="A51" s="13" t="s">
        <v>42</v>
      </c>
      <c r="B51" s="11">
        <v>264</v>
      </c>
      <c r="C51" s="11">
        <v>318</v>
      </c>
      <c r="D51" s="11">
        <v>15</v>
      </c>
      <c r="E51" s="11">
        <v>9</v>
      </c>
      <c r="F51" s="11">
        <v>606</v>
      </c>
    </row>
    <row r="52" spans="1:6" x14ac:dyDescent="0.3">
      <c r="A52" s="13" t="s">
        <v>37</v>
      </c>
      <c r="B52" s="11">
        <v>296</v>
      </c>
      <c r="C52" s="11">
        <v>275</v>
      </c>
      <c r="D52" s="11">
        <v>9</v>
      </c>
      <c r="E52" s="11">
        <v>23</v>
      </c>
      <c r="F52" s="11">
        <v>603</v>
      </c>
    </row>
    <row r="53" spans="1:6" x14ac:dyDescent="0.3">
      <c r="A53" s="13" t="s">
        <v>123</v>
      </c>
      <c r="B53" s="11">
        <v>153</v>
      </c>
      <c r="C53" s="11">
        <v>246</v>
      </c>
      <c r="D53" s="11">
        <v>30</v>
      </c>
      <c r="E53" s="11">
        <v>8</v>
      </c>
      <c r="F53" s="11">
        <v>437</v>
      </c>
    </row>
    <row r="54" spans="1:6" x14ac:dyDescent="0.3">
      <c r="A54" s="13" t="s">
        <v>146</v>
      </c>
      <c r="B54" s="11">
        <v>189</v>
      </c>
      <c r="C54" s="11">
        <v>168</v>
      </c>
      <c r="D54" s="11">
        <v>10</v>
      </c>
      <c r="E54" s="11">
        <v>31</v>
      </c>
      <c r="F54" s="11">
        <v>398</v>
      </c>
    </row>
    <row r="55" spans="1:6" x14ac:dyDescent="0.3">
      <c r="A55" s="13" t="s">
        <v>69</v>
      </c>
      <c r="B55" s="11">
        <v>234</v>
      </c>
      <c r="C55" s="11">
        <v>93</v>
      </c>
      <c r="D55" s="11">
        <v>19</v>
      </c>
      <c r="E55" s="11">
        <v>24</v>
      </c>
      <c r="F55" s="11">
        <v>370</v>
      </c>
    </row>
    <row r="56" spans="1:6" x14ac:dyDescent="0.3">
      <c r="A56" s="13" t="s">
        <v>30</v>
      </c>
      <c r="B56" s="11">
        <v>146</v>
      </c>
      <c r="C56" s="11">
        <v>94</v>
      </c>
      <c r="D56" s="11">
        <v>4</v>
      </c>
      <c r="E56" s="11">
        <v>28</v>
      </c>
      <c r="F56" s="11">
        <v>272</v>
      </c>
    </row>
    <row r="57" spans="1:6" x14ac:dyDescent="0.3">
      <c r="A57" s="13" t="s">
        <v>135</v>
      </c>
      <c r="B57" s="11">
        <v>127</v>
      </c>
      <c r="C57" s="11">
        <v>118</v>
      </c>
      <c r="D57" s="11">
        <v>13</v>
      </c>
      <c r="E57" s="11">
        <v>12</v>
      </c>
      <c r="F57" s="11">
        <v>270</v>
      </c>
    </row>
    <row r="58" spans="1:6" x14ac:dyDescent="0.3">
      <c r="A58" s="13" t="s">
        <v>67</v>
      </c>
      <c r="B58" s="11">
        <v>179</v>
      </c>
      <c r="C58" s="11">
        <v>76</v>
      </c>
      <c r="D58" s="11">
        <v>3</v>
      </c>
      <c r="E58" s="11"/>
      <c r="F58" s="11">
        <v>258</v>
      </c>
    </row>
    <row r="59" spans="1:6" x14ac:dyDescent="0.3">
      <c r="A59" s="13" t="s">
        <v>128</v>
      </c>
      <c r="B59" s="11">
        <v>99</v>
      </c>
      <c r="C59" s="11">
        <v>69</v>
      </c>
      <c r="D59" s="11">
        <v>3</v>
      </c>
      <c r="E59" s="11">
        <v>24</v>
      </c>
      <c r="F59" s="11">
        <v>195</v>
      </c>
    </row>
    <row r="60" spans="1:6" x14ac:dyDescent="0.3">
      <c r="A60" s="13" t="s">
        <v>76</v>
      </c>
      <c r="B60" s="11">
        <v>75</v>
      </c>
      <c r="C60" s="11">
        <v>103</v>
      </c>
      <c r="D60" s="11">
        <v>4</v>
      </c>
      <c r="E60" s="11">
        <v>6</v>
      </c>
      <c r="F60" s="11">
        <v>188</v>
      </c>
    </row>
    <row r="61" spans="1:6" x14ac:dyDescent="0.3">
      <c r="A61" s="13" t="s">
        <v>81</v>
      </c>
      <c r="B61" s="11">
        <v>43</v>
      </c>
      <c r="C61" s="11">
        <v>90</v>
      </c>
      <c r="D61" s="11">
        <v>8</v>
      </c>
      <c r="E61" s="11">
        <v>6</v>
      </c>
      <c r="F61" s="11">
        <v>147</v>
      </c>
    </row>
    <row r="62" spans="1:6" x14ac:dyDescent="0.3">
      <c r="A62" s="13" t="s">
        <v>171</v>
      </c>
      <c r="B62" s="11">
        <v>26</v>
      </c>
      <c r="C62" s="11">
        <v>35</v>
      </c>
      <c r="D62" s="11">
        <v>4</v>
      </c>
      <c r="E62" s="11"/>
      <c r="F62" s="11">
        <v>65</v>
      </c>
    </row>
    <row r="63" spans="1:6" x14ac:dyDescent="0.3">
      <c r="A63" s="13" t="s">
        <v>2543</v>
      </c>
      <c r="B63" s="11">
        <v>6272</v>
      </c>
      <c r="C63" s="11">
        <v>4672</v>
      </c>
      <c r="D63" s="11">
        <v>317</v>
      </c>
      <c r="E63" s="11">
        <v>736</v>
      </c>
      <c r="F63" s="11">
        <v>11997</v>
      </c>
    </row>
    <row r="69" spans="1:13" x14ac:dyDescent="0.3">
      <c r="A69" s="12" t="s">
        <v>10</v>
      </c>
      <c r="B69" s="12" t="s">
        <v>11</v>
      </c>
      <c r="C69" t="s">
        <v>2541</v>
      </c>
      <c r="D69" t="s">
        <v>2546</v>
      </c>
      <c r="G69" t="s">
        <v>2560</v>
      </c>
    </row>
    <row r="70" spans="1:13" x14ac:dyDescent="0.3">
      <c r="A70" t="s">
        <v>19</v>
      </c>
      <c r="B70" t="s">
        <v>115</v>
      </c>
      <c r="C70" s="11">
        <v>579</v>
      </c>
      <c r="D70" s="11">
        <v>31884.999999999996</v>
      </c>
      <c r="G70" t="s">
        <v>2561</v>
      </c>
      <c r="H70" t="s">
        <v>11</v>
      </c>
      <c r="I70" t="s">
        <v>2550</v>
      </c>
      <c r="K70" t="s">
        <v>10</v>
      </c>
      <c r="L70" t="s">
        <v>11</v>
      </c>
      <c r="M70" t="s">
        <v>4</v>
      </c>
    </row>
    <row r="71" spans="1:13" x14ac:dyDescent="0.3">
      <c r="A71" t="s">
        <v>19</v>
      </c>
      <c r="B71" t="s">
        <v>20</v>
      </c>
      <c r="C71" s="11">
        <v>1</v>
      </c>
      <c r="D71" s="11">
        <v>10.9</v>
      </c>
      <c r="G71" t="str">
        <f>A70</f>
        <v>California</v>
      </c>
      <c r="H71" t="str">
        <f t="shared" ref="H71:I86" si="0">B70</f>
        <v>Alameda County</v>
      </c>
      <c r="I71">
        <f t="shared" si="0"/>
        <v>579</v>
      </c>
      <c r="K71" t="str">
        <f>A70</f>
        <v>California</v>
      </c>
      <c r="L71" t="str">
        <f t="shared" ref="L71:M86" si="1">B70</f>
        <v>Alameda County</v>
      </c>
      <c r="M71">
        <f>D70</f>
        <v>31884.999999999996</v>
      </c>
    </row>
    <row r="72" spans="1:13" x14ac:dyDescent="0.3">
      <c r="A72" t="s">
        <v>19</v>
      </c>
      <c r="B72" t="s">
        <v>641</v>
      </c>
      <c r="C72" s="11">
        <v>9</v>
      </c>
      <c r="D72" s="11">
        <v>800.3</v>
      </c>
      <c r="G72" t="str">
        <f>A71</f>
        <v>California</v>
      </c>
      <c r="H72" t="str">
        <f t="shared" si="0"/>
        <v>Alpine County</v>
      </c>
      <c r="I72">
        <f t="shared" si="0"/>
        <v>1</v>
      </c>
      <c r="K72" t="str">
        <f t="shared" ref="K72:K127" si="2">A71</f>
        <v>California</v>
      </c>
      <c r="L72" t="str">
        <f t="shared" si="1"/>
        <v>Alpine County</v>
      </c>
      <c r="M72">
        <f t="shared" ref="M72:M127" si="3">D71</f>
        <v>10.9</v>
      </c>
    </row>
    <row r="73" spans="1:13" x14ac:dyDescent="0.3">
      <c r="A73" t="s">
        <v>19</v>
      </c>
      <c r="B73" t="s">
        <v>967</v>
      </c>
      <c r="C73" s="11">
        <v>35</v>
      </c>
      <c r="D73" s="11">
        <v>1062.5999999999999</v>
      </c>
      <c r="G73" t="str">
        <f t="shared" ref="G72:G127" si="4">A72</f>
        <v>California</v>
      </c>
      <c r="H73" t="str">
        <f t="shared" si="0"/>
        <v>Amador County</v>
      </c>
      <c r="I73">
        <f t="shared" si="0"/>
        <v>9</v>
      </c>
      <c r="K73" t="str">
        <f t="shared" si="2"/>
        <v>California</v>
      </c>
      <c r="L73" t="str">
        <f t="shared" si="1"/>
        <v>Amador County</v>
      </c>
      <c r="M73">
        <f t="shared" si="3"/>
        <v>800.3</v>
      </c>
    </row>
    <row r="74" spans="1:13" x14ac:dyDescent="0.3">
      <c r="A74" t="s">
        <v>19</v>
      </c>
      <c r="B74" t="s">
        <v>84</v>
      </c>
      <c r="C74" s="11">
        <v>12</v>
      </c>
      <c r="D74" s="11">
        <v>326.20000000000005</v>
      </c>
      <c r="G74" t="str">
        <f t="shared" si="4"/>
        <v>California</v>
      </c>
      <c r="H74" t="str">
        <f t="shared" si="0"/>
        <v>Butte County</v>
      </c>
      <c r="I74">
        <f t="shared" si="0"/>
        <v>35</v>
      </c>
      <c r="K74" t="str">
        <f t="shared" si="2"/>
        <v>California</v>
      </c>
      <c r="L74" t="str">
        <f t="shared" si="1"/>
        <v>Butte County</v>
      </c>
      <c r="M74">
        <f t="shared" si="3"/>
        <v>1062.5999999999999</v>
      </c>
    </row>
    <row r="75" spans="1:13" x14ac:dyDescent="0.3">
      <c r="A75" t="s">
        <v>19</v>
      </c>
      <c r="B75" t="s">
        <v>1383</v>
      </c>
      <c r="C75" s="11">
        <v>4</v>
      </c>
      <c r="D75" s="11">
        <v>167.5</v>
      </c>
      <c r="G75" t="str">
        <f t="shared" si="4"/>
        <v>California</v>
      </c>
      <c r="H75" t="str">
        <f t="shared" si="0"/>
        <v>Calaveras County</v>
      </c>
      <c r="I75">
        <f t="shared" si="0"/>
        <v>12</v>
      </c>
      <c r="K75" t="str">
        <f t="shared" si="2"/>
        <v>California</v>
      </c>
      <c r="L75" t="str">
        <f t="shared" si="1"/>
        <v>Calaveras County</v>
      </c>
      <c r="M75">
        <f t="shared" si="3"/>
        <v>326.20000000000005</v>
      </c>
    </row>
    <row r="76" spans="1:13" x14ac:dyDescent="0.3">
      <c r="A76" t="s">
        <v>19</v>
      </c>
      <c r="B76" t="s">
        <v>24</v>
      </c>
      <c r="C76" s="11">
        <v>341</v>
      </c>
      <c r="D76" s="11">
        <v>16168.7</v>
      </c>
      <c r="G76" t="str">
        <f t="shared" si="4"/>
        <v>California</v>
      </c>
      <c r="H76" t="str">
        <f t="shared" si="0"/>
        <v>Colusa County</v>
      </c>
      <c r="I76">
        <f t="shared" si="0"/>
        <v>4</v>
      </c>
      <c r="K76" t="str">
        <f t="shared" si="2"/>
        <v>California</v>
      </c>
      <c r="L76" t="str">
        <f t="shared" si="1"/>
        <v>Colusa County</v>
      </c>
      <c r="M76">
        <f t="shared" si="3"/>
        <v>167.5</v>
      </c>
    </row>
    <row r="77" spans="1:13" x14ac:dyDescent="0.3">
      <c r="A77" t="s">
        <v>19</v>
      </c>
      <c r="B77" t="s">
        <v>2204</v>
      </c>
      <c r="C77" s="11">
        <v>13</v>
      </c>
      <c r="D77" s="11">
        <v>322.40000000000003</v>
      </c>
      <c r="G77" t="str">
        <f t="shared" si="4"/>
        <v>California</v>
      </c>
      <c r="H77" t="str">
        <f t="shared" si="0"/>
        <v>Contra Costa County</v>
      </c>
      <c r="I77">
        <f t="shared" si="0"/>
        <v>341</v>
      </c>
      <c r="K77" t="str">
        <f t="shared" si="2"/>
        <v>California</v>
      </c>
      <c r="L77" t="str">
        <f t="shared" si="1"/>
        <v>Contra Costa County</v>
      </c>
      <c r="M77">
        <f t="shared" si="3"/>
        <v>16168.7</v>
      </c>
    </row>
    <row r="78" spans="1:13" x14ac:dyDescent="0.3">
      <c r="A78" t="s">
        <v>19</v>
      </c>
      <c r="B78" t="s">
        <v>437</v>
      </c>
      <c r="C78" s="11">
        <v>31</v>
      </c>
      <c r="D78" s="11">
        <v>2092.8000000000002</v>
      </c>
      <c r="G78" t="str">
        <f t="shared" si="4"/>
        <v>California</v>
      </c>
      <c r="H78" t="str">
        <f t="shared" si="0"/>
        <v>Del Norte County</v>
      </c>
      <c r="I78">
        <f t="shared" si="0"/>
        <v>13</v>
      </c>
      <c r="K78" t="str">
        <f t="shared" si="2"/>
        <v>California</v>
      </c>
      <c r="L78" t="str">
        <f t="shared" si="1"/>
        <v>Del Norte County</v>
      </c>
      <c r="M78">
        <f t="shared" si="3"/>
        <v>322.40000000000003</v>
      </c>
    </row>
    <row r="79" spans="1:13" x14ac:dyDescent="0.3">
      <c r="A79" t="s">
        <v>19</v>
      </c>
      <c r="B79" t="s">
        <v>28</v>
      </c>
      <c r="C79" s="11">
        <v>279</v>
      </c>
      <c r="D79" s="11">
        <v>12662.500000000002</v>
      </c>
      <c r="G79" t="str">
        <f t="shared" si="4"/>
        <v>California</v>
      </c>
      <c r="H79" t="str">
        <f t="shared" si="0"/>
        <v>El Dorado County</v>
      </c>
      <c r="I79">
        <f t="shared" si="0"/>
        <v>31</v>
      </c>
      <c r="K79" t="str">
        <f t="shared" si="2"/>
        <v>California</v>
      </c>
      <c r="L79" t="str">
        <f t="shared" si="1"/>
        <v>El Dorado County</v>
      </c>
      <c r="M79">
        <f t="shared" si="3"/>
        <v>2092.8000000000002</v>
      </c>
    </row>
    <row r="80" spans="1:13" x14ac:dyDescent="0.3">
      <c r="A80" t="s">
        <v>19</v>
      </c>
      <c r="B80" t="s">
        <v>208</v>
      </c>
      <c r="C80" s="11">
        <v>9</v>
      </c>
      <c r="D80" s="11">
        <v>343.2</v>
      </c>
      <c r="G80" t="str">
        <f t="shared" si="4"/>
        <v>California</v>
      </c>
      <c r="H80" t="str">
        <f t="shared" si="0"/>
        <v>Fresno County</v>
      </c>
      <c r="I80">
        <f t="shared" si="0"/>
        <v>279</v>
      </c>
      <c r="K80" t="str">
        <f t="shared" si="2"/>
        <v>California</v>
      </c>
      <c r="L80" t="str">
        <f t="shared" si="1"/>
        <v>Fresno County</v>
      </c>
      <c r="M80">
        <f t="shared" si="3"/>
        <v>12662.500000000002</v>
      </c>
    </row>
    <row r="81" spans="1:13" x14ac:dyDescent="0.3">
      <c r="A81" t="s">
        <v>19</v>
      </c>
      <c r="B81" t="s">
        <v>587</v>
      </c>
      <c r="C81" s="11">
        <v>49</v>
      </c>
      <c r="D81" s="11">
        <v>2188.2999999999997</v>
      </c>
      <c r="G81" t="str">
        <f t="shared" si="4"/>
        <v>California</v>
      </c>
      <c r="H81" t="str">
        <f t="shared" si="0"/>
        <v>Glenn County</v>
      </c>
      <c r="I81">
        <f t="shared" si="0"/>
        <v>9</v>
      </c>
      <c r="K81" t="str">
        <f t="shared" si="2"/>
        <v>California</v>
      </c>
      <c r="L81" t="str">
        <f t="shared" si="1"/>
        <v>Glenn County</v>
      </c>
      <c r="M81">
        <f t="shared" si="3"/>
        <v>343.2</v>
      </c>
    </row>
    <row r="82" spans="1:13" x14ac:dyDescent="0.3">
      <c r="A82" t="s">
        <v>19</v>
      </c>
      <c r="B82" t="s">
        <v>331</v>
      </c>
      <c r="C82" s="11">
        <v>59</v>
      </c>
      <c r="D82" s="11">
        <v>2661.5999999999995</v>
      </c>
      <c r="G82" t="str">
        <f t="shared" si="4"/>
        <v>California</v>
      </c>
      <c r="H82" t="str">
        <f t="shared" si="0"/>
        <v>Humboldt County</v>
      </c>
      <c r="I82">
        <f t="shared" si="0"/>
        <v>49</v>
      </c>
      <c r="K82" t="str">
        <f t="shared" si="2"/>
        <v>California</v>
      </c>
      <c r="L82" t="str">
        <f t="shared" si="1"/>
        <v>Humboldt County</v>
      </c>
      <c r="M82">
        <f t="shared" si="3"/>
        <v>2188.2999999999997</v>
      </c>
    </row>
    <row r="83" spans="1:13" x14ac:dyDescent="0.3">
      <c r="A83" t="s">
        <v>19</v>
      </c>
      <c r="B83" t="s">
        <v>86</v>
      </c>
      <c r="C83" s="11">
        <v>8</v>
      </c>
      <c r="D83" s="11">
        <v>887.5</v>
      </c>
      <c r="G83" t="str">
        <f t="shared" si="4"/>
        <v>California</v>
      </c>
      <c r="H83" t="str">
        <f t="shared" si="0"/>
        <v>Imperial County</v>
      </c>
      <c r="I83">
        <f t="shared" si="0"/>
        <v>59</v>
      </c>
      <c r="K83" t="str">
        <f t="shared" si="2"/>
        <v>California</v>
      </c>
      <c r="L83" t="str">
        <f t="shared" si="1"/>
        <v>Imperial County</v>
      </c>
      <c r="M83">
        <f t="shared" si="3"/>
        <v>2661.5999999999995</v>
      </c>
    </row>
    <row r="84" spans="1:13" x14ac:dyDescent="0.3">
      <c r="A84" t="s">
        <v>19</v>
      </c>
      <c r="B84" t="s">
        <v>147</v>
      </c>
      <c r="C84" s="11">
        <v>222</v>
      </c>
      <c r="D84" s="11">
        <v>11354.199999999993</v>
      </c>
      <c r="G84" t="str">
        <f t="shared" si="4"/>
        <v>California</v>
      </c>
      <c r="H84" t="str">
        <f t="shared" si="0"/>
        <v>Inyo County</v>
      </c>
      <c r="I84">
        <f t="shared" si="0"/>
        <v>8</v>
      </c>
      <c r="K84" t="str">
        <f t="shared" si="2"/>
        <v>California</v>
      </c>
      <c r="L84" t="str">
        <f t="shared" si="1"/>
        <v>Inyo County</v>
      </c>
      <c r="M84">
        <f t="shared" si="3"/>
        <v>887.5</v>
      </c>
    </row>
    <row r="85" spans="1:13" x14ac:dyDescent="0.3">
      <c r="A85" t="s">
        <v>19</v>
      </c>
      <c r="B85" t="s">
        <v>334</v>
      </c>
      <c r="C85" s="11">
        <v>36</v>
      </c>
      <c r="D85" s="11">
        <v>1558.4</v>
      </c>
      <c r="G85" t="str">
        <f t="shared" si="4"/>
        <v>California</v>
      </c>
      <c r="H85" t="str">
        <f t="shared" si="0"/>
        <v>Kern County</v>
      </c>
      <c r="I85">
        <f t="shared" si="0"/>
        <v>222</v>
      </c>
      <c r="K85" t="str">
        <f t="shared" si="2"/>
        <v>California</v>
      </c>
      <c r="L85" t="str">
        <f t="shared" si="1"/>
        <v>Kern County</v>
      </c>
      <c r="M85">
        <f t="shared" si="3"/>
        <v>11354.199999999993</v>
      </c>
    </row>
    <row r="86" spans="1:13" x14ac:dyDescent="0.3">
      <c r="A86" t="s">
        <v>19</v>
      </c>
      <c r="B86" t="s">
        <v>949</v>
      </c>
      <c r="C86" s="11">
        <v>30</v>
      </c>
      <c r="D86" s="11">
        <v>2223.9</v>
      </c>
      <c r="G86" t="str">
        <f t="shared" si="4"/>
        <v>California</v>
      </c>
      <c r="H86" t="str">
        <f t="shared" si="0"/>
        <v>Kings County</v>
      </c>
      <c r="I86">
        <f t="shared" si="0"/>
        <v>36</v>
      </c>
      <c r="K86" t="str">
        <f t="shared" si="2"/>
        <v>California</v>
      </c>
      <c r="L86" t="str">
        <f t="shared" si="1"/>
        <v>Kings County</v>
      </c>
      <c r="M86">
        <f t="shared" si="3"/>
        <v>1558.4</v>
      </c>
    </row>
    <row r="87" spans="1:13" x14ac:dyDescent="0.3">
      <c r="A87" t="s">
        <v>19</v>
      </c>
      <c r="B87" t="s">
        <v>1426</v>
      </c>
      <c r="C87" s="11">
        <v>1</v>
      </c>
      <c r="D87" s="11">
        <v>26.2</v>
      </c>
      <c r="G87" t="str">
        <f t="shared" si="4"/>
        <v>California</v>
      </c>
      <c r="H87" t="str">
        <f t="shared" ref="H87:H127" si="5">B86</f>
        <v>Lake County</v>
      </c>
      <c r="I87">
        <f t="shared" ref="I87:I127" si="6">C86</f>
        <v>30</v>
      </c>
      <c r="K87" t="str">
        <f t="shared" si="2"/>
        <v>California</v>
      </c>
      <c r="L87" t="str">
        <f t="shared" ref="L87:L127" si="7">B86</f>
        <v>Lake County</v>
      </c>
      <c r="M87">
        <f t="shared" si="3"/>
        <v>2223.9</v>
      </c>
    </row>
    <row r="88" spans="1:13" x14ac:dyDescent="0.3">
      <c r="A88" t="s">
        <v>19</v>
      </c>
      <c r="B88" t="s">
        <v>33</v>
      </c>
      <c r="C88" s="11">
        <v>3991</v>
      </c>
      <c r="D88" s="11">
        <v>215551.19999999981</v>
      </c>
      <c r="G88" t="str">
        <f t="shared" si="4"/>
        <v>California</v>
      </c>
      <c r="H88" t="str">
        <f t="shared" si="5"/>
        <v>Lassen County</v>
      </c>
      <c r="I88">
        <f t="shared" si="6"/>
        <v>1</v>
      </c>
      <c r="K88" t="str">
        <f t="shared" si="2"/>
        <v>California</v>
      </c>
      <c r="L88" t="str">
        <f t="shared" si="7"/>
        <v>Lassen County</v>
      </c>
      <c r="M88">
        <f t="shared" si="3"/>
        <v>26.2</v>
      </c>
    </row>
    <row r="89" spans="1:13" x14ac:dyDescent="0.3">
      <c r="A89" t="s">
        <v>19</v>
      </c>
      <c r="B89" t="s">
        <v>364</v>
      </c>
      <c r="C89" s="11">
        <v>45</v>
      </c>
      <c r="D89" s="11">
        <v>2687.3999999999996</v>
      </c>
      <c r="G89" t="str">
        <f t="shared" si="4"/>
        <v>California</v>
      </c>
      <c r="H89" t="str">
        <f t="shared" si="5"/>
        <v>Los Angeles County</v>
      </c>
      <c r="I89">
        <f t="shared" si="6"/>
        <v>3991</v>
      </c>
      <c r="K89" t="str">
        <f t="shared" si="2"/>
        <v>California</v>
      </c>
      <c r="L89" t="str">
        <f t="shared" si="7"/>
        <v>Los Angeles County</v>
      </c>
      <c r="M89">
        <f t="shared" si="3"/>
        <v>215551.19999999981</v>
      </c>
    </row>
    <row r="90" spans="1:13" x14ac:dyDescent="0.3">
      <c r="A90" t="s">
        <v>19</v>
      </c>
      <c r="B90" t="s">
        <v>545</v>
      </c>
      <c r="C90" s="11">
        <v>39</v>
      </c>
      <c r="D90" s="11">
        <v>1463.3000000000002</v>
      </c>
      <c r="G90" t="str">
        <f t="shared" si="4"/>
        <v>California</v>
      </c>
      <c r="H90" t="str">
        <f t="shared" si="5"/>
        <v>Madera County</v>
      </c>
      <c r="I90">
        <f t="shared" si="6"/>
        <v>45</v>
      </c>
      <c r="K90" t="str">
        <f t="shared" si="2"/>
        <v>California</v>
      </c>
      <c r="L90" t="str">
        <f t="shared" si="7"/>
        <v>Madera County</v>
      </c>
      <c r="M90">
        <f t="shared" si="3"/>
        <v>2687.3999999999996</v>
      </c>
    </row>
    <row r="91" spans="1:13" x14ac:dyDescent="0.3">
      <c r="A91" t="s">
        <v>19</v>
      </c>
      <c r="B91" t="s">
        <v>416</v>
      </c>
      <c r="C91" s="11">
        <v>6</v>
      </c>
      <c r="D91" s="11">
        <v>445.79999999999995</v>
      </c>
      <c r="G91" t="str">
        <f t="shared" si="4"/>
        <v>California</v>
      </c>
      <c r="H91" t="str">
        <f t="shared" si="5"/>
        <v>Marin County</v>
      </c>
      <c r="I91">
        <f t="shared" si="6"/>
        <v>39</v>
      </c>
      <c r="K91" t="str">
        <f t="shared" si="2"/>
        <v>California</v>
      </c>
      <c r="L91" t="str">
        <f t="shared" si="7"/>
        <v>Marin County</v>
      </c>
      <c r="M91">
        <f t="shared" si="3"/>
        <v>1463.3000000000002</v>
      </c>
    </row>
    <row r="92" spans="1:13" x14ac:dyDescent="0.3">
      <c r="A92" t="s">
        <v>19</v>
      </c>
      <c r="B92" t="s">
        <v>258</v>
      </c>
      <c r="C92" s="11">
        <v>9</v>
      </c>
      <c r="D92" s="11">
        <v>273.59999999999997</v>
      </c>
      <c r="G92" t="str">
        <f t="shared" si="4"/>
        <v>California</v>
      </c>
      <c r="H92" t="str">
        <f t="shared" si="5"/>
        <v>Mariposa County</v>
      </c>
      <c r="I92">
        <f t="shared" si="6"/>
        <v>6</v>
      </c>
      <c r="K92" t="str">
        <f t="shared" si="2"/>
        <v>California</v>
      </c>
      <c r="L92" t="str">
        <f t="shared" si="7"/>
        <v>Mariposa County</v>
      </c>
      <c r="M92">
        <f t="shared" si="3"/>
        <v>445.79999999999995</v>
      </c>
    </row>
    <row r="93" spans="1:13" x14ac:dyDescent="0.3">
      <c r="A93" t="s">
        <v>19</v>
      </c>
      <c r="B93" t="s">
        <v>186</v>
      </c>
      <c r="C93" s="11">
        <v>60</v>
      </c>
      <c r="D93" s="11">
        <v>2690.4</v>
      </c>
      <c r="G93" t="str">
        <f t="shared" si="4"/>
        <v>California</v>
      </c>
      <c r="H93" t="str">
        <f t="shared" si="5"/>
        <v>Mendocino County</v>
      </c>
      <c r="I93">
        <f t="shared" si="6"/>
        <v>9</v>
      </c>
      <c r="K93" t="str">
        <f t="shared" si="2"/>
        <v>California</v>
      </c>
      <c r="L93" t="str">
        <f t="shared" si="7"/>
        <v>Mendocino County</v>
      </c>
      <c r="M93">
        <f t="shared" si="3"/>
        <v>273.59999999999997</v>
      </c>
    </row>
    <row r="94" spans="1:13" x14ac:dyDescent="0.3">
      <c r="A94" t="s">
        <v>19</v>
      </c>
      <c r="B94" t="s">
        <v>392</v>
      </c>
      <c r="C94" s="11">
        <v>2</v>
      </c>
      <c r="D94" s="11">
        <v>28.4</v>
      </c>
      <c r="G94" t="str">
        <f t="shared" si="4"/>
        <v>California</v>
      </c>
      <c r="H94" t="str">
        <f t="shared" si="5"/>
        <v>Merced County</v>
      </c>
      <c r="I94">
        <f t="shared" si="6"/>
        <v>60</v>
      </c>
      <c r="K94" t="str">
        <f t="shared" si="2"/>
        <v>California</v>
      </c>
      <c r="L94" t="str">
        <f t="shared" si="7"/>
        <v>Merced County</v>
      </c>
      <c r="M94">
        <f t="shared" si="3"/>
        <v>2690.4</v>
      </c>
    </row>
    <row r="95" spans="1:13" x14ac:dyDescent="0.3">
      <c r="A95" t="s">
        <v>19</v>
      </c>
      <c r="B95" t="s">
        <v>670</v>
      </c>
      <c r="C95" s="11">
        <v>4</v>
      </c>
      <c r="D95" s="11">
        <v>204.8</v>
      </c>
      <c r="G95" t="str">
        <f t="shared" si="4"/>
        <v>California</v>
      </c>
      <c r="H95" t="str">
        <f t="shared" si="5"/>
        <v>Modoc County</v>
      </c>
      <c r="I95">
        <f t="shared" si="6"/>
        <v>2</v>
      </c>
      <c r="K95" t="str">
        <f t="shared" si="2"/>
        <v>California</v>
      </c>
      <c r="L95" t="str">
        <f t="shared" si="7"/>
        <v>Modoc County</v>
      </c>
      <c r="M95">
        <f t="shared" si="3"/>
        <v>28.4</v>
      </c>
    </row>
    <row r="96" spans="1:13" x14ac:dyDescent="0.3">
      <c r="A96" t="s">
        <v>19</v>
      </c>
      <c r="B96" t="s">
        <v>802</v>
      </c>
      <c r="C96" s="11">
        <v>31</v>
      </c>
      <c r="D96" s="11">
        <v>1607.8999999999999</v>
      </c>
      <c r="G96" t="str">
        <f t="shared" si="4"/>
        <v>California</v>
      </c>
      <c r="H96" t="str">
        <f t="shared" si="5"/>
        <v>Mono County</v>
      </c>
      <c r="I96">
        <f t="shared" si="6"/>
        <v>4</v>
      </c>
      <c r="K96" t="str">
        <f t="shared" si="2"/>
        <v>California</v>
      </c>
      <c r="L96" t="str">
        <f t="shared" si="7"/>
        <v>Mono County</v>
      </c>
      <c r="M96">
        <f t="shared" si="3"/>
        <v>204.8</v>
      </c>
    </row>
    <row r="97" spans="1:13" x14ac:dyDescent="0.3">
      <c r="A97" t="s">
        <v>19</v>
      </c>
      <c r="B97" t="s">
        <v>98</v>
      </c>
      <c r="C97" s="11">
        <v>88</v>
      </c>
      <c r="D97" s="11">
        <v>6444.9</v>
      </c>
      <c r="G97" t="str">
        <f t="shared" si="4"/>
        <v>California</v>
      </c>
      <c r="H97" t="str">
        <f t="shared" si="5"/>
        <v>Monterey County</v>
      </c>
      <c r="I97">
        <f t="shared" si="6"/>
        <v>31</v>
      </c>
      <c r="K97" t="str">
        <f t="shared" si="2"/>
        <v>California</v>
      </c>
      <c r="L97" t="str">
        <f t="shared" si="7"/>
        <v>Monterey County</v>
      </c>
      <c r="M97">
        <f t="shared" si="3"/>
        <v>1607.8999999999999</v>
      </c>
    </row>
    <row r="98" spans="1:13" x14ac:dyDescent="0.3">
      <c r="A98" t="s">
        <v>19</v>
      </c>
      <c r="B98" t="s">
        <v>49</v>
      </c>
      <c r="C98" s="11">
        <v>25</v>
      </c>
      <c r="D98" s="11">
        <v>1809.3</v>
      </c>
      <c r="G98" t="str">
        <f t="shared" si="4"/>
        <v>California</v>
      </c>
      <c r="H98" t="str">
        <f t="shared" si="5"/>
        <v>Napa County</v>
      </c>
      <c r="I98">
        <f t="shared" si="6"/>
        <v>88</v>
      </c>
      <c r="K98" t="str">
        <f t="shared" si="2"/>
        <v>California</v>
      </c>
      <c r="L98" t="str">
        <f t="shared" si="7"/>
        <v>Napa County</v>
      </c>
      <c r="M98">
        <f t="shared" si="3"/>
        <v>6444.9</v>
      </c>
    </row>
    <row r="99" spans="1:13" x14ac:dyDescent="0.3">
      <c r="A99" t="s">
        <v>19</v>
      </c>
      <c r="B99" t="s">
        <v>188</v>
      </c>
      <c r="C99" s="11">
        <v>178</v>
      </c>
      <c r="D99" s="11">
        <v>9680.399999999996</v>
      </c>
      <c r="G99" t="str">
        <f t="shared" si="4"/>
        <v>California</v>
      </c>
      <c r="H99" t="str">
        <f t="shared" si="5"/>
        <v>Nevada County</v>
      </c>
      <c r="I99">
        <f t="shared" si="6"/>
        <v>25</v>
      </c>
      <c r="K99" t="str">
        <f t="shared" si="2"/>
        <v>California</v>
      </c>
      <c r="L99" t="str">
        <f t="shared" si="7"/>
        <v>Nevada County</v>
      </c>
      <c r="M99">
        <f t="shared" si="3"/>
        <v>1809.3</v>
      </c>
    </row>
    <row r="100" spans="1:13" x14ac:dyDescent="0.3">
      <c r="A100" t="s">
        <v>19</v>
      </c>
      <c r="B100" t="s">
        <v>52</v>
      </c>
      <c r="C100" s="11">
        <v>141</v>
      </c>
      <c r="D100" s="11">
        <v>9414.7999999999993</v>
      </c>
      <c r="G100" t="str">
        <f t="shared" si="4"/>
        <v>California</v>
      </c>
      <c r="H100" t="str">
        <f t="shared" si="5"/>
        <v>Orange County</v>
      </c>
      <c r="I100">
        <f t="shared" si="6"/>
        <v>178</v>
      </c>
      <c r="K100" t="str">
        <f t="shared" si="2"/>
        <v>California</v>
      </c>
      <c r="L100" t="str">
        <f t="shared" si="7"/>
        <v>Orange County</v>
      </c>
      <c r="M100">
        <f t="shared" si="3"/>
        <v>9680.399999999996</v>
      </c>
    </row>
    <row r="101" spans="1:13" x14ac:dyDescent="0.3">
      <c r="A101" t="s">
        <v>19</v>
      </c>
      <c r="B101" t="s">
        <v>338</v>
      </c>
      <c r="C101" s="11">
        <v>6</v>
      </c>
      <c r="D101" s="11">
        <v>206.1</v>
      </c>
      <c r="G101" t="str">
        <f t="shared" si="4"/>
        <v>California</v>
      </c>
      <c r="H101" t="str">
        <f t="shared" si="5"/>
        <v>Placer County</v>
      </c>
      <c r="I101">
        <f t="shared" si="6"/>
        <v>141</v>
      </c>
      <c r="K101" t="str">
        <f t="shared" si="2"/>
        <v>California</v>
      </c>
      <c r="L101" t="str">
        <f t="shared" si="7"/>
        <v>Placer County</v>
      </c>
      <c r="M101">
        <f t="shared" si="3"/>
        <v>9414.7999999999993</v>
      </c>
    </row>
    <row r="102" spans="1:13" x14ac:dyDescent="0.3">
      <c r="A102" t="s">
        <v>19</v>
      </c>
      <c r="B102" t="s">
        <v>158</v>
      </c>
      <c r="C102" s="11">
        <v>178</v>
      </c>
      <c r="D102" s="11">
        <v>7691.3</v>
      </c>
      <c r="G102" t="str">
        <f t="shared" si="4"/>
        <v>California</v>
      </c>
      <c r="H102" t="str">
        <f t="shared" si="5"/>
        <v>Plumas County</v>
      </c>
      <c r="I102">
        <f t="shared" si="6"/>
        <v>6</v>
      </c>
      <c r="K102" t="str">
        <f t="shared" si="2"/>
        <v>California</v>
      </c>
      <c r="L102" t="str">
        <f t="shared" si="7"/>
        <v>Plumas County</v>
      </c>
      <c r="M102">
        <f t="shared" si="3"/>
        <v>206.1</v>
      </c>
    </row>
    <row r="103" spans="1:13" x14ac:dyDescent="0.3">
      <c r="A103" t="s">
        <v>19</v>
      </c>
      <c r="B103" t="s">
        <v>55</v>
      </c>
      <c r="C103" s="11">
        <v>699</v>
      </c>
      <c r="D103" s="11">
        <v>37784.900000000016</v>
      </c>
      <c r="G103" t="str">
        <f t="shared" si="4"/>
        <v>California</v>
      </c>
      <c r="H103" t="str">
        <f t="shared" si="5"/>
        <v>Riverside County</v>
      </c>
      <c r="I103">
        <f t="shared" si="6"/>
        <v>178</v>
      </c>
      <c r="K103" t="str">
        <f t="shared" si="2"/>
        <v>California</v>
      </c>
      <c r="L103" t="str">
        <f t="shared" si="7"/>
        <v>Riverside County</v>
      </c>
      <c r="M103">
        <f t="shared" si="3"/>
        <v>7691.3</v>
      </c>
    </row>
    <row r="104" spans="1:13" x14ac:dyDescent="0.3">
      <c r="A104" t="s">
        <v>19</v>
      </c>
      <c r="B104" t="s">
        <v>342</v>
      </c>
      <c r="C104" s="11">
        <v>23</v>
      </c>
      <c r="D104" s="11">
        <v>1129.7</v>
      </c>
      <c r="G104" t="str">
        <f t="shared" si="4"/>
        <v>California</v>
      </c>
      <c r="H104" t="str">
        <f t="shared" si="5"/>
        <v>Sacramento County</v>
      </c>
      <c r="I104">
        <f t="shared" si="6"/>
        <v>699</v>
      </c>
      <c r="K104" t="str">
        <f t="shared" si="2"/>
        <v>California</v>
      </c>
      <c r="L104" t="str">
        <f t="shared" si="7"/>
        <v>Sacramento County</v>
      </c>
      <c r="M104">
        <f t="shared" si="3"/>
        <v>37784.900000000016</v>
      </c>
    </row>
    <row r="105" spans="1:13" x14ac:dyDescent="0.3">
      <c r="A105" t="s">
        <v>19</v>
      </c>
      <c r="B105" t="s">
        <v>59</v>
      </c>
      <c r="C105" s="11">
        <v>356</v>
      </c>
      <c r="D105" s="11">
        <v>20988.9</v>
      </c>
      <c r="G105" t="str">
        <f t="shared" si="4"/>
        <v>California</v>
      </c>
      <c r="H105" t="str">
        <f t="shared" si="5"/>
        <v>San Benito County</v>
      </c>
      <c r="I105">
        <f t="shared" si="6"/>
        <v>23</v>
      </c>
      <c r="K105" t="str">
        <f t="shared" si="2"/>
        <v>California</v>
      </c>
      <c r="L105" t="str">
        <f t="shared" si="7"/>
        <v>San Benito County</v>
      </c>
      <c r="M105">
        <f t="shared" si="3"/>
        <v>1129.7</v>
      </c>
    </row>
    <row r="106" spans="1:13" x14ac:dyDescent="0.3">
      <c r="A106" t="s">
        <v>19</v>
      </c>
      <c r="B106" t="s">
        <v>62</v>
      </c>
      <c r="C106" s="11">
        <v>1768</v>
      </c>
      <c r="D106" s="11">
        <v>98367.099999999977</v>
      </c>
      <c r="G106" t="str">
        <f t="shared" si="4"/>
        <v>California</v>
      </c>
      <c r="H106" t="str">
        <f t="shared" si="5"/>
        <v>San Bernardino County</v>
      </c>
      <c r="I106">
        <f t="shared" si="6"/>
        <v>356</v>
      </c>
      <c r="K106" t="str">
        <f t="shared" si="2"/>
        <v>California</v>
      </c>
      <c r="L106" t="str">
        <f t="shared" si="7"/>
        <v>San Bernardino County</v>
      </c>
      <c r="M106">
        <f t="shared" si="3"/>
        <v>20988.9</v>
      </c>
    </row>
    <row r="107" spans="1:13" x14ac:dyDescent="0.3">
      <c r="A107" t="s">
        <v>19</v>
      </c>
      <c r="B107" t="s">
        <v>103</v>
      </c>
      <c r="C107" s="11">
        <v>307</v>
      </c>
      <c r="D107" s="11">
        <v>21911.9</v>
      </c>
      <c r="G107" t="str">
        <f t="shared" si="4"/>
        <v>California</v>
      </c>
      <c r="H107" t="str">
        <f t="shared" si="5"/>
        <v>San Diego County</v>
      </c>
      <c r="I107">
        <f t="shared" si="6"/>
        <v>1768</v>
      </c>
      <c r="K107" t="str">
        <f t="shared" si="2"/>
        <v>California</v>
      </c>
      <c r="L107" t="str">
        <f t="shared" si="7"/>
        <v>San Diego County</v>
      </c>
      <c r="M107">
        <f t="shared" si="3"/>
        <v>98367.099999999977</v>
      </c>
    </row>
    <row r="108" spans="1:13" x14ac:dyDescent="0.3">
      <c r="A108" t="s">
        <v>19</v>
      </c>
      <c r="B108" t="s">
        <v>201</v>
      </c>
      <c r="C108" s="11">
        <v>117</v>
      </c>
      <c r="D108" s="11">
        <v>5441.2</v>
      </c>
      <c r="G108" t="str">
        <f t="shared" si="4"/>
        <v>California</v>
      </c>
      <c r="H108" t="str">
        <f t="shared" si="5"/>
        <v>San Francisco</v>
      </c>
      <c r="I108">
        <f t="shared" si="6"/>
        <v>307</v>
      </c>
      <c r="K108" t="str">
        <f t="shared" si="2"/>
        <v>California</v>
      </c>
      <c r="L108" t="str">
        <f t="shared" si="7"/>
        <v>San Francisco</v>
      </c>
      <c r="M108">
        <f t="shared" si="3"/>
        <v>21911.9</v>
      </c>
    </row>
    <row r="109" spans="1:13" x14ac:dyDescent="0.3">
      <c r="A109" t="s">
        <v>19</v>
      </c>
      <c r="B109" t="s">
        <v>429</v>
      </c>
      <c r="C109" s="11">
        <v>13</v>
      </c>
      <c r="D109" s="11">
        <v>392.8</v>
      </c>
      <c r="G109" t="str">
        <f t="shared" si="4"/>
        <v>California</v>
      </c>
      <c r="H109" t="str">
        <f t="shared" si="5"/>
        <v>San Joaquin County</v>
      </c>
      <c r="I109">
        <f t="shared" si="6"/>
        <v>117</v>
      </c>
      <c r="K109" t="str">
        <f t="shared" si="2"/>
        <v>California</v>
      </c>
      <c r="L109" t="str">
        <f t="shared" si="7"/>
        <v>San Joaquin County</v>
      </c>
      <c r="M109">
        <f t="shared" si="3"/>
        <v>5441.2</v>
      </c>
    </row>
    <row r="110" spans="1:13" x14ac:dyDescent="0.3">
      <c r="A110" t="s">
        <v>19</v>
      </c>
      <c r="B110" t="s">
        <v>72</v>
      </c>
      <c r="C110" s="11">
        <v>364</v>
      </c>
      <c r="D110" s="11">
        <v>16172.000000000005</v>
      </c>
      <c r="G110" t="str">
        <f t="shared" si="4"/>
        <v>California</v>
      </c>
      <c r="H110" t="str">
        <f t="shared" si="5"/>
        <v>San Luis Obispo County</v>
      </c>
      <c r="I110">
        <f t="shared" si="6"/>
        <v>13</v>
      </c>
      <c r="K110" t="str">
        <f t="shared" si="2"/>
        <v>California</v>
      </c>
      <c r="L110" t="str">
        <f t="shared" si="7"/>
        <v>San Luis Obispo County</v>
      </c>
      <c r="M110">
        <f t="shared" si="3"/>
        <v>392.8</v>
      </c>
    </row>
    <row r="111" spans="1:13" x14ac:dyDescent="0.3">
      <c r="A111" t="s">
        <v>19</v>
      </c>
      <c r="B111" t="s">
        <v>74</v>
      </c>
      <c r="C111" s="11">
        <v>95</v>
      </c>
      <c r="D111" s="11">
        <v>4334.9999999999991</v>
      </c>
      <c r="G111" t="str">
        <f t="shared" si="4"/>
        <v>California</v>
      </c>
      <c r="H111" t="str">
        <f t="shared" si="5"/>
        <v>San Mateo County</v>
      </c>
      <c r="I111">
        <f t="shared" si="6"/>
        <v>364</v>
      </c>
      <c r="K111" t="str">
        <f t="shared" si="2"/>
        <v>California</v>
      </c>
      <c r="L111" t="str">
        <f t="shared" si="7"/>
        <v>San Mateo County</v>
      </c>
      <c r="M111">
        <f t="shared" si="3"/>
        <v>16172.000000000005</v>
      </c>
    </row>
    <row r="112" spans="1:13" x14ac:dyDescent="0.3">
      <c r="A112" t="s">
        <v>19</v>
      </c>
      <c r="B112" t="s">
        <v>77</v>
      </c>
      <c r="C112" s="11">
        <v>737</v>
      </c>
      <c r="D112" s="11">
        <v>37449.000000000007</v>
      </c>
      <c r="G112" t="str">
        <f t="shared" si="4"/>
        <v>California</v>
      </c>
      <c r="H112" t="str">
        <f t="shared" si="5"/>
        <v>Santa Barbara County</v>
      </c>
      <c r="I112">
        <f t="shared" si="6"/>
        <v>95</v>
      </c>
      <c r="K112" t="str">
        <f t="shared" si="2"/>
        <v>California</v>
      </c>
      <c r="L112" t="str">
        <f t="shared" si="7"/>
        <v>Santa Barbara County</v>
      </c>
      <c r="M112">
        <f t="shared" si="3"/>
        <v>4334.9999999999991</v>
      </c>
    </row>
    <row r="113" spans="1:13" x14ac:dyDescent="0.3">
      <c r="A113" t="s">
        <v>19</v>
      </c>
      <c r="B113" t="s">
        <v>309</v>
      </c>
      <c r="C113" s="11">
        <v>39</v>
      </c>
      <c r="D113" s="11">
        <v>2447.5</v>
      </c>
      <c r="G113" t="str">
        <f t="shared" si="4"/>
        <v>California</v>
      </c>
      <c r="H113" t="str">
        <f t="shared" si="5"/>
        <v>Santa Clara County</v>
      </c>
      <c r="I113">
        <f t="shared" si="6"/>
        <v>737</v>
      </c>
      <c r="K113" t="str">
        <f t="shared" si="2"/>
        <v>California</v>
      </c>
      <c r="L113" t="str">
        <f t="shared" si="7"/>
        <v>Santa Clara County</v>
      </c>
      <c r="M113">
        <f t="shared" si="3"/>
        <v>37449.000000000007</v>
      </c>
    </row>
    <row r="114" spans="1:13" x14ac:dyDescent="0.3">
      <c r="A114" t="s">
        <v>19</v>
      </c>
      <c r="B114" t="s">
        <v>1116</v>
      </c>
      <c r="C114" s="11">
        <v>56</v>
      </c>
      <c r="D114" s="11">
        <v>3391.1</v>
      </c>
      <c r="G114" t="str">
        <f t="shared" si="4"/>
        <v>California</v>
      </c>
      <c r="H114" t="str">
        <f t="shared" si="5"/>
        <v>Santa Cruz County</v>
      </c>
      <c r="I114">
        <f t="shared" si="6"/>
        <v>39</v>
      </c>
      <c r="K114" t="str">
        <f t="shared" si="2"/>
        <v>California</v>
      </c>
      <c r="L114" t="str">
        <f t="shared" si="7"/>
        <v>Santa Cruz County</v>
      </c>
      <c r="M114">
        <f t="shared" si="3"/>
        <v>2447.5</v>
      </c>
    </row>
    <row r="115" spans="1:13" x14ac:dyDescent="0.3">
      <c r="A115" t="s">
        <v>19</v>
      </c>
      <c r="B115" t="s">
        <v>700</v>
      </c>
      <c r="C115" s="11">
        <v>2</v>
      </c>
      <c r="D115" s="11">
        <v>30.8</v>
      </c>
      <c r="G115" t="str">
        <f t="shared" si="4"/>
        <v>California</v>
      </c>
      <c r="H115" t="str">
        <f t="shared" si="5"/>
        <v>Shasta County</v>
      </c>
      <c r="I115">
        <f t="shared" si="6"/>
        <v>56</v>
      </c>
      <c r="K115" t="str">
        <f t="shared" si="2"/>
        <v>California</v>
      </c>
      <c r="L115" t="str">
        <f t="shared" si="7"/>
        <v>Shasta County</v>
      </c>
      <c r="M115">
        <f t="shared" si="3"/>
        <v>3391.1</v>
      </c>
    </row>
    <row r="116" spans="1:13" x14ac:dyDescent="0.3">
      <c r="A116" t="s">
        <v>19</v>
      </c>
      <c r="B116" t="s">
        <v>268</v>
      </c>
      <c r="C116" s="11">
        <v>8</v>
      </c>
      <c r="D116" s="11">
        <v>332.3</v>
      </c>
      <c r="G116" t="str">
        <f t="shared" si="4"/>
        <v>California</v>
      </c>
      <c r="H116" t="str">
        <f t="shared" si="5"/>
        <v>Sierra County</v>
      </c>
      <c r="I116">
        <f t="shared" si="6"/>
        <v>2</v>
      </c>
      <c r="K116" t="str">
        <f t="shared" si="2"/>
        <v>California</v>
      </c>
      <c r="L116" t="str">
        <f t="shared" si="7"/>
        <v>Sierra County</v>
      </c>
      <c r="M116">
        <f t="shared" si="3"/>
        <v>30.8</v>
      </c>
    </row>
    <row r="117" spans="1:13" x14ac:dyDescent="0.3">
      <c r="A117" t="s">
        <v>19</v>
      </c>
      <c r="B117" t="s">
        <v>377</v>
      </c>
      <c r="C117" s="11">
        <v>52</v>
      </c>
      <c r="D117" s="11">
        <v>3175.9999999999995</v>
      </c>
      <c r="G117" t="str">
        <f t="shared" si="4"/>
        <v>California</v>
      </c>
      <c r="H117" t="str">
        <f t="shared" si="5"/>
        <v>Siskiyou County</v>
      </c>
      <c r="I117">
        <f t="shared" si="6"/>
        <v>8</v>
      </c>
      <c r="K117" t="str">
        <f t="shared" si="2"/>
        <v>California</v>
      </c>
      <c r="L117" t="str">
        <f t="shared" si="7"/>
        <v>Siskiyou County</v>
      </c>
      <c r="M117">
        <f t="shared" si="3"/>
        <v>332.3</v>
      </c>
    </row>
    <row r="118" spans="1:13" x14ac:dyDescent="0.3">
      <c r="A118" t="s">
        <v>19</v>
      </c>
      <c r="B118" t="s">
        <v>108</v>
      </c>
      <c r="C118" s="11">
        <v>295</v>
      </c>
      <c r="D118" s="11">
        <v>20939.600000000002</v>
      </c>
      <c r="G118" t="str">
        <f t="shared" si="4"/>
        <v>California</v>
      </c>
      <c r="H118" t="str">
        <f t="shared" si="5"/>
        <v>Solano County</v>
      </c>
      <c r="I118">
        <f t="shared" si="6"/>
        <v>52</v>
      </c>
      <c r="K118" t="str">
        <f t="shared" si="2"/>
        <v>California</v>
      </c>
      <c r="L118" t="str">
        <f t="shared" si="7"/>
        <v>Solano County</v>
      </c>
      <c r="M118">
        <f t="shared" si="3"/>
        <v>3175.9999999999995</v>
      </c>
    </row>
    <row r="119" spans="1:13" x14ac:dyDescent="0.3">
      <c r="A119" t="s">
        <v>19</v>
      </c>
      <c r="B119" t="s">
        <v>110</v>
      </c>
      <c r="C119" s="11">
        <v>195</v>
      </c>
      <c r="D119" s="11">
        <v>10185.899999999996</v>
      </c>
      <c r="G119" t="str">
        <f t="shared" si="4"/>
        <v>California</v>
      </c>
      <c r="H119" t="str">
        <f t="shared" si="5"/>
        <v>Sonoma County</v>
      </c>
      <c r="I119">
        <f t="shared" si="6"/>
        <v>295</v>
      </c>
      <c r="K119" t="str">
        <f t="shared" si="2"/>
        <v>California</v>
      </c>
      <c r="L119" t="str">
        <f t="shared" si="7"/>
        <v>Sonoma County</v>
      </c>
      <c r="M119">
        <f t="shared" si="3"/>
        <v>20939.600000000002</v>
      </c>
    </row>
    <row r="120" spans="1:13" x14ac:dyDescent="0.3">
      <c r="A120" t="s">
        <v>19</v>
      </c>
      <c r="B120" t="s">
        <v>292</v>
      </c>
      <c r="C120" s="11">
        <v>20</v>
      </c>
      <c r="D120" s="11">
        <v>958.7</v>
      </c>
      <c r="G120" t="str">
        <f t="shared" si="4"/>
        <v>California</v>
      </c>
      <c r="H120" t="str">
        <f t="shared" si="5"/>
        <v>Stanislaus County</v>
      </c>
      <c r="I120">
        <f t="shared" si="6"/>
        <v>195</v>
      </c>
      <c r="K120" t="str">
        <f t="shared" si="2"/>
        <v>California</v>
      </c>
      <c r="L120" t="str">
        <f t="shared" si="7"/>
        <v>Stanislaus County</v>
      </c>
      <c r="M120">
        <f t="shared" si="3"/>
        <v>10185.899999999996</v>
      </c>
    </row>
    <row r="121" spans="1:13" x14ac:dyDescent="0.3">
      <c r="A121" t="s">
        <v>19</v>
      </c>
      <c r="B121" t="s">
        <v>79</v>
      </c>
      <c r="C121" s="11">
        <v>6</v>
      </c>
      <c r="D121" s="11">
        <v>323</v>
      </c>
      <c r="G121" t="str">
        <f t="shared" si="4"/>
        <v>California</v>
      </c>
      <c r="H121" t="str">
        <f t="shared" si="5"/>
        <v>Sutter County</v>
      </c>
      <c r="I121">
        <f t="shared" si="6"/>
        <v>20</v>
      </c>
      <c r="K121" t="str">
        <f t="shared" si="2"/>
        <v>California</v>
      </c>
      <c r="L121" t="str">
        <f t="shared" si="7"/>
        <v>Sutter County</v>
      </c>
      <c r="M121">
        <f t="shared" si="3"/>
        <v>958.7</v>
      </c>
    </row>
    <row r="122" spans="1:13" x14ac:dyDescent="0.3">
      <c r="A122" t="s">
        <v>19</v>
      </c>
      <c r="B122" t="s">
        <v>608</v>
      </c>
      <c r="C122" s="11">
        <v>5</v>
      </c>
      <c r="D122" s="11">
        <v>167.70000000000002</v>
      </c>
      <c r="G122" t="str">
        <f t="shared" si="4"/>
        <v>California</v>
      </c>
      <c r="H122" t="str">
        <f t="shared" si="5"/>
        <v>Tehama County</v>
      </c>
      <c r="I122">
        <f t="shared" si="6"/>
        <v>6</v>
      </c>
      <c r="K122" t="str">
        <f t="shared" si="2"/>
        <v>California</v>
      </c>
      <c r="L122" t="str">
        <f t="shared" si="7"/>
        <v>Tehama County</v>
      </c>
      <c r="M122">
        <f t="shared" si="3"/>
        <v>323</v>
      </c>
    </row>
    <row r="123" spans="1:13" x14ac:dyDescent="0.3">
      <c r="A123" t="s">
        <v>19</v>
      </c>
      <c r="B123" t="s">
        <v>113</v>
      </c>
      <c r="C123" s="11">
        <v>94</v>
      </c>
      <c r="D123" s="11">
        <v>3978.5</v>
      </c>
      <c r="G123" t="str">
        <f t="shared" si="4"/>
        <v>California</v>
      </c>
      <c r="H123" t="str">
        <f t="shared" si="5"/>
        <v>Trinity County</v>
      </c>
      <c r="I123">
        <f t="shared" si="6"/>
        <v>5</v>
      </c>
      <c r="K123" t="str">
        <f t="shared" si="2"/>
        <v>California</v>
      </c>
      <c r="L123" t="str">
        <f t="shared" si="7"/>
        <v>Trinity County</v>
      </c>
      <c r="M123">
        <f t="shared" si="3"/>
        <v>167.70000000000002</v>
      </c>
    </row>
    <row r="124" spans="1:13" x14ac:dyDescent="0.3">
      <c r="A124" t="s">
        <v>19</v>
      </c>
      <c r="B124" t="s">
        <v>997</v>
      </c>
      <c r="C124" s="11">
        <v>28</v>
      </c>
      <c r="D124" s="11">
        <v>1405</v>
      </c>
      <c r="G124" t="str">
        <f t="shared" si="4"/>
        <v>California</v>
      </c>
      <c r="H124" t="str">
        <f t="shared" si="5"/>
        <v>Tulare County</v>
      </c>
      <c r="I124">
        <f t="shared" si="6"/>
        <v>94</v>
      </c>
      <c r="K124" t="str">
        <f t="shared" si="2"/>
        <v>California</v>
      </c>
      <c r="L124" t="str">
        <f t="shared" si="7"/>
        <v>Tulare County</v>
      </c>
      <c r="M124">
        <f t="shared" si="3"/>
        <v>3978.5</v>
      </c>
    </row>
    <row r="125" spans="1:13" x14ac:dyDescent="0.3">
      <c r="A125" t="s">
        <v>19</v>
      </c>
      <c r="B125" t="s">
        <v>82</v>
      </c>
      <c r="C125" s="11">
        <v>179</v>
      </c>
      <c r="D125" s="11">
        <v>9869.0999999999985</v>
      </c>
      <c r="G125" t="str">
        <f t="shared" si="4"/>
        <v>California</v>
      </c>
      <c r="H125" t="str">
        <f t="shared" si="5"/>
        <v>Tuolumne County</v>
      </c>
      <c r="I125">
        <f t="shared" si="6"/>
        <v>28</v>
      </c>
      <c r="K125" t="str">
        <f t="shared" si="2"/>
        <v>California</v>
      </c>
      <c r="L125" t="str">
        <f t="shared" si="7"/>
        <v>Tuolumne County</v>
      </c>
      <c r="M125">
        <f t="shared" si="3"/>
        <v>1405</v>
      </c>
    </row>
    <row r="126" spans="1:13" x14ac:dyDescent="0.3">
      <c r="A126" t="s">
        <v>19</v>
      </c>
      <c r="B126" t="s">
        <v>243</v>
      </c>
      <c r="C126" s="11">
        <v>15</v>
      </c>
      <c r="D126" s="11">
        <v>615.29999999999995</v>
      </c>
      <c r="G126" t="str">
        <f t="shared" si="4"/>
        <v>California</v>
      </c>
      <c r="H126" t="str">
        <f t="shared" si="5"/>
        <v>Ventura County</v>
      </c>
      <c r="I126">
        <f t="shared" si="6"/>
        <v>179</v>
      </c>
      <c r="K126" t="str">
        <f t="shared" si="2"/>
        <v>California</v>
      </c>
      <c r="L126" t="str">
        <f t="shared" si="7"/>
        <v>Ventura County</v>
      </c>
      <c r="M126">
        <f t="shared" si="3"/>
        <v>9869.0999999999985</v>
      </c>
    </row>
    <row r="127" spans="1:13" x14ac:dyDescent="0.3">
      <c r="A127" t="s">
        <v>19</v>
      </c>
      <c r="B127" t="s">
        <v>1911</v>
      </c>
      <c r="C127" s="11">
        <v>3</v>
      </c>
      <c r="D127" s="11">
        <v>285</v>
      </c>
      <c r="G127" t="str">
        <f t="shared" si="4"/>
        <v>California</v>
      </c>
      <c r="H127" t="str">
        <f t="shared" si="5"/>
        <v>Yolo County</v>
      </c>
      <c r="I127">
        <f t="shared" si="6"/>
        <v>15</v>
      </c>
      <c r="K127" t="str">
        <f t="shared" si="2"/>
        <v>California</v>
      </c>
      <c r="L127" t="str">
        <f t="shared" si="7"/>
        <v>Yolo County</v>
      </c>
      <c r="M127">
        <f t="shared" si="3"/>
        <v>615.29999999999995</v>
      </c>
    </row>
    <row r="133" spans="1:2" x14ac:dyDescent="0.3">
      <c r="A133" s="20" t="s">
        <v>2568</v>
      </c>
    </row>
    <row r="134" spans="1:2" x14ac:dyDescent="0.3">
      <c r="A134" s="12" t="s">
        <v>2542</v>
      </c>
      <c r="B134" t="s">
        <v>2545</v>
      </c>
    </row>
    <row r="135" spans="1:2" x14ac:dyDescent="0.3">
      <c r="A135" s="13">
        <v>0</v>
      </c>
      <c r="B135" s="11">
        <v>175</v>
      </c>
    </row>
    <row r="136" spans="1:2" x14ac:dyDescent="0.3">
      <c r="A136" s="13">
        <v>1</v>
      </c>
      <c r="B136" s="11">
        <v>888</v>
      </c>
    </row>
    <row r="137" spans="1:2" x14ac:dyDescent="0.3">
      <c r="A137" s="13">
        <v>2</v>
      </c>
      <c r="B137" s="11">
        <v>538</v>
      </c>
    </row>
    <row r="138" spans="1:2" x14ac:dyDescent="0.3">
      <c r="A138" s="13">
        <v>3</v>
      </c>
      <c r="B138" s="11">
        <v>344</v>
      </c>
    </row>
    <row r="139" spans="1:2" x14ac:dyDescent="0.3">
      <c r="A139" s="13">
        <v>4</v>
      </c>
      <c r="B139" s="11">
        <v>200</v>
      </c>
    </row>
    <row r="140" spans="1:2" x14ac:dyDescent="0.3">
      <c r="A140" s="13">
        <v>5</v>
      </c>
      <c r="B140" s="11">
        <v>94</v>
      </c>
    </row>
    <row r="141" spans="1:2" x14ac:dyDescent="0.3">
      <c r="A141" s="13">
        <v>6</v>
      </c>
      <c r="B141" s="11">
        <v>51</v>
      </c>
    </row>
    <row r="142" spans="1:2" x14ac:dyDescent="0.3">
      <c r="A142" s="13">
        <v>7</v>
      </c>
      <c r="B142" s="11">
        <v>32</v>
      </c>
    </row>
    <row r="143" spans="1:2" x14ac:dyDescent="0.3">
      <c r="A143" s="13">
        <v>8</v>
      </c>
      <c r="B143" s="11">
        <v>23</v>
      </c>
    </row>
    <row r="144" spans="1:2" x14ac:dyDescent="0.3">
      <c r="A144" s="13">
        <v>9</v>
      </c>
      <c r="B144" s="11">
        <v>9</v>
      </c>
    </row>
    <row r="145" spans="1:7" x14ac:dyDescent="0.3">
      <c r="A145" s="13">
        <v>10</v>
      </c>
      <c r="B145" s="11">
        <v>8</v>
      </c>
    </row>
    <row r="146" spans="1:7" x14ac:dyDescent="0.3">
      <c r="A146" s="13">
        <v>11</v>
      </c>
      <c r="B146" s="11">
        <v>11</v>
      </c>
    </row>
    <row r="147" spans="1:7" x14ac:dyDescent="0.3">
      <c r="A147" s="13">
        <v>12</v>
      </c>
      <c r="B147" s="11">
        <v>4</v>
      </c>
    </row>
    <row r="148" spans="1:7" x14ac:dyDescent="0.3">
      <c r="A148" s="13">
        <v>13</v>
      </c>
      <c r="B148" s="11">
        <v>10</v>
      </c>
    </row>
    <row r="149" spans="1:7" x14ac:dyDescent="0.3">
      <c r="A149" s="13">
        <v>14</v>
      </c>
      <c r="B149" s="11">
        <v>13</v>
      </c>
    </row>
    <row r="150" spans="1:7" x14ac:dyDescent="0.3">
      <c r="A150" s="13" t="s">
        <v>2543</v>
      </c>
      <c r="B150" s="11">
        <v>2400</v>
      </c>
    </row>
    <row r="153" spans="1:7" x14ac:dyDescent="0.3">
      <c r="A153" s="20" t="s">
        <v>2565</v>
      </c>
    </row>
    <row r="154" spans="1:7" x14ac:dyDescent="0.3">
      <c r="A154" s="12" t="s">
        <v>2545</v>
      </c>
      <c r="B154" s="12" t="s">
        <v>2544</v>
      </c>
    </row>
    <row r="155" spans="1:7" x14ac:dyDescent="0.3">
      <c r="A155" s="12" t="s">
        <v>2542</v>
      </c>
      <c r="B155">
        <v>1</v>
      </c>
      <c r="C155">
        <v>2</v>
      </c>
      <c r="D155">
        <v>3</v>
      </c>
      <c r="E155">
        <v>4</v>
      </c>
      <c r="F155">
        <v>5</v>
      </c>
      <c r="G155" t="s">
        <v>2543</v>
      </c>
    </row>
    <row r="156" spans="1:7" x14ac:dyDescent="0.3">
      <c r="A156" s="13" t="s">
        <v>2562</v>
      </c>
      <c r="B156" s="11">
        <v>7</v>
      </c>
      <c r="C156" s="11">
        <v>37</v>
      </c>
      <c r="D156" s="11">
        <v>150</v>
      </c>
      <c r="E156" s="11">
        <v>312</v>
      </c>
      <c r="F156" s="11">
        <v>224</v>
      </c>
      <c r="G156" s="11">
        <v>730</v>
      </c>
    </row>
    <row r="157" spans="1:7" x14ac:dyDescent="0.3">
      <c r="A157" s="13" t="s">
        <v>2563</v>
      </c>
      <c r="B157" s="11">
        <v>8</v>
      </c>
      <c r="C157" s="11">
        <v>51</v>
      </c>
      <c r="D157" s="11">
        <v>182</v>
      </c>
      <c r="E157" s="11">
        <v>373</v>
      </c>
      <c r="F157" s="11">
        <v>247</v>
      </c>
      <c r="G157" s="11">
        <v>861</v>
      </c>
    </row>
    <row r="158" spans="1:7" x14ac:dyDescent="0.3">
      <c r="A158" s="13" t="s">
        <v>2564</v>
      </c>
      <c r="B158" s="11">
        <v>6</v>
      </c>
      <c r="C158" s="11">
        <v>39</v>
      </c>
      <c r="D158" s="11">
        <v>163</v>
      </c>
      <c r="E158" s="11">
        <v>351</v>
      </c>
      <c r="F158" s="11">
        <v>250</v>
      </c>
      <c r="G158" s="11">
        <v>809</v>
      </c>
    </row>
    <row r="159" spans="1:7" x14ac:dyDescent="0.3">
      <c r="A159" s="13" t="s">
        <v>2543</v>
      </c>
      <c r="B159" s="11">
        <v>21</v>
      </c>
      <c r="C159" s="11">
        <v>127</v>
      </c>
      <c r="D159" s="11">
        <v>495</v>
      </c>
      <c r="E159" s="11">
        <v>1036</v>
      </c>
      <c r="F159" s="11">
        <v>721</v>
      </c>
      <c r="G159" s="11">
        <v>2400</v>
      </c>
    </row>
  </sheetData>
  <conditionalFormatting sqref="U4:X8">
    <cfRule type="colorScale" priority="3">
      <colorScale>
        <cfvo type="min"/>
        <cfvo type="percentile" val="50"/>
        <cfvo type="max"/>
        <color rgb="FFF8696B"/>
        <color rgb="FFFCFCFF"/>
        <color rgb="FF5A8AC6"/>
      </colorScale>
    </cfRule>
  </conditionalFormatting>
  <conditionalFormatting sqref="U12:X16">
    <cfRule type="colorScale" priority="2">
      <colorScale>
        <cfvo type="min"/>
        <cfvo type="percentile" val="50"/>
        <cfvo type="max"/>
        <color rgb="FFF8696B"/>
        <color rgb="FFFCFCFF"/>
        <color rgb="FF5A8AC6"/>
      </colorScale>
    </cfRule>
  </conditionalFormatting>
  <conditionalFormatting sqref="W18:Z22">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7B22-C937-486C-BB1C-F073A57457D8}">
  <dimension ref="D6:F25"/>
  <sheetViews>
    <sheetView zoomScale="101" workbookViewId="0">
      <selection activeCell="E8" sqref="E8"/>
    </sheetView>
  </sheetViews>
  <sheetFormatPr defaultRowHeight="14.4" x14ac:dyDescent="0.3"/>
  <sheetData>
    <row r="6" spans="4:6" x14ac:dyDescent="0.3">
      <c r="D6" t="s">
        <v>2518</v>
      </c>
    </row>
    <row r="7" spans="4:6" x14ac:dyDescent="0.3">
      <c r="D7" s="5"/>
      <c r="E7" t="s">
        <v>2519</v>
      </c>
      <c r="F7" t="s">
        <v>2525</v>
      </c>
    </row>
    <row r="8" spans="4:6" x14ac:dyDescent="0.3">
      <c r="D8" s="6"/>
      <c r="E8" t="s">
        <v>2520</v>
      </c>
      <c r="F8" t="s">
        <v>2526</v>
      </c>
    </row>
    <row r="9" spans="4:6" x14ac:dyDescent="0.3">
      <c r="D9" s="7"/>
      <c r="E9" t="s">
        <v>2521</v>
      </c>
      <c r="F9" t="s">
        <v>2527</v>
      </c>
    </row>
    <row r="10" spans="4:6" x14ac:dyDescent="0.3">
      <c r="D10" s="8"/>
      <c r="E10" t="s">
        <v>2522</v>
      </c>
      <c r="F10" t="s">
        <v>2528</v>
      </c>
    </row>
    <row r="11" spans="4:6" x14ac:dyDescent="0.3">
      <c r="D11" s="9"/>
      <c r="E11" t="s">
        <v>2523</v>
      </c>
      <c r="F11" t="s">
        <v>2529</v>
      </c>
    </row>
    <row r="12" spans="4:6" x14ac:dyDescent="0.3">
      <c r="D12" s="2"/>
      <c r="E12" t="s">
        <v>2524</v>
      </c>
      <c r="F12" t="s">
        <v>2530</v>
      </c>
    </row>
    <row r="14" spans="4:6" x14ac:dyDescent="0.3">
      <c r="D14" t="s">
        <v>2531</v>
      </c>
    </row>
    <row r="15" spans="4:6" x14ac:dyDescent="0.3">
      <c r="E15" t="s">
        <v>2532</v>
      </c>
    </row>
    <row r="16" spans="4:6" x14ac:dyDescent="0.3">
      <c r="E16" t="s">
        <v>2</v>
      </c>
    </row>
    <row r="17" spans="4:5" x14ac:dyDescent="0.3">
      <c r="E17" t="s">
        <v>4</v>
      </c>
    </row>
    <row r="18" spans="4:5" x14ac:dyDescent="0.3">
      <c r="E18" t="s">
        <v>2533</v>
      </c>
    </row>
    <row r="22" spans="4:5" x14ac:dyDescent="0.3">
      <c r="D22" t="s">
        <v>2534</v>
      </c>
    </row>
    <row r="23" spans="4:5" x14ac:dyDescent="0.3">
      <c r="D23" t="s">
        <v>2535</v>
      </c>
      <c r="E23" t="s">
        <v>2536</v>
      </c>
    </row>
    <row r="24" spans="4:5" x14ac:dyDescent="0.3">
      <c r="D24" t="s">
        <v>2537</v>
      </c>
      <c r="E24" t="s">
        <v>2538</v>
      </c>
    </row>
    <row r="25" spans="4:5" x14ac:dyDescent="0.3">
      <c r="D25" s="10" t="s">
        <v>2539</v>
      </c>
      <c r="E25" t="s">
        <v>2540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4CF0-644D-4F49-9D88-209CBB04088D}">
  <dimension ref="A1"/>
  <sheetViews>
    <sheetView tabSelected="1" zoomScale="78" zoomScaleNormal="74" workbookViewId="0">
      <selection activeCell="D48" sqref="D48"/>
    </sheetView>
  </sheetViews>
  <sheetFormatPr defaultRowHeight="14.4" x14ac:dyDescent="0.3"/>
  <cols>
    <col min="1" max="1" width="5.6640625" customWidth="1"/>
    <col min="2" max="2" width="14.77734375" customWidth="1"/>
    <col min="3" max="3" width="6.5546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Questions &amp; KPIs</vt:lpstr>
      <vt:lpstr>Pivots</vt:lpstr>
      <vt:lpstr>Colors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Samir Shedge</cp:lastModifiedBy>
  <dcterms:created xsi:type="dcterms:W3CDTF">2025-06-13T02:42:26Z</dcterms:created>
  <dcterms:modified xsi:type="dcterms:W3CDTF">2025-12-26T09:07:57Z</dcterms:modified>
</cp:coreProperties>
</file>